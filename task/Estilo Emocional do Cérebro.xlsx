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Vanessa note\OneDrive\Desktop\MCK\"/>
    </mc:Choice>
  </mc:AlternateContent>
  <xr:revisionPtr revIDLastSave="0" documentId="8_{E822DC00-60A9-4BA5-B8E8-56645D083BA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e" sheetId="1" r:id="rId1"/>
    <sheet name="Tabulaçã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4" i="1" l="1"/>
  <c r="F83" i="1"/>
  <c r="F80" i="1"/>
  <c r="F79" i="1"/>
  <c r="F85" i="1"/>
  <c r="F82" i="1"/>
  <c r="F81" i="1"/>
  <c r="F78" i="1"/>
  <c r="F77" i="1"/>
  <c r="F76" i="1"/>
  <c r="F71" i="1"/>
  <c r="F70" i="1"/>
  <c r="F69" i="1"/>
  <c r="F67" i="1"/>
  <c r="F66" i="1"/>
  <c r="F62" i="1"/>
  <c r="F57" i="1"/>
  <c r="F68" i="1"/>
  <c r="F65" i="1"/>
  <c r="F64" i="1"/>
  <c r="F63" i="1"/>
  <c r="F48" i="1"/>
  <c r="F49" i="1"/>
  <c r="F56" i="1"/>
  <c r="F53" i="1"/>
  <c r="F55" i="1"/>
  <c r="F54" i="1"/>
  <c r="F52" i="1"/>
  <c r="F51" i="1"/>
  <c r="F50" i="1"/>
  <c r="F43" i="1"/>
  <c r="F42" i="1"/>
  <c r="F41" i="1"/>
  <c r="F40" i="1"/>
  <c r="F39" i="1"/>
  <c r="F38" i="1"/>
  <c r="F37" i="1"/>
  <c r="F36" i="1"/>
  <c r="F35" i="1"/>
  <c r="F34" i="1"/>
  <c r="F29" i="1"/>
  <c r="F28" i="1"/>
  <c r="F27" i="1"/>
  <c r="F26" i="1"/>
  <c r="F25" i="1"/>
  <c r="F24" i="1"/>
  <c r="F23" i="1"/>
  <c r="F21" i="1"/>
  <c r="F22" i="1"/>
  <c r="F20" i="1"/>
  <c r="F15" i="1"/>
  <c r="F14" i="1"/>
  <c r="F13" i="1"/>
  <c r="F12" i="1"/>
  <c r="F11" i="1"/>
  <c r="F10" i="1"/>
  <c r="F9" i="1"/>
  <c r="F8" i="1"/>
  <c r="F7" i="1"/>
  <c r="F6" i="1"/>
  <c r="F86" i="1" l="1"/>
  <c r="F30" i="1" l="1"/>
  <c r="F44" i="1"/>
  <c r="F58" i="1"/>
  <c r="F72" i="1"/>
  <c r="F16" i="1"/>
</calcChain>
</file>

<file path=xl/sharedStrings.xml><?xml version="1.0" encoding="utf-8"?>
<sst xmlns="http://schemas.openxmlformats.org/spreadsheetml/2006/main" count="110" uniqueCount="97">
  <si>
    <t>AVALIAÇÃO DO ESTILO EMOCIONAL DO CÉREBRO</t>
  </si>
  <si>
    <t>DIMENSÃO RESILIÊNCIA</t>
  </si>
  <si>
    <t>V OU F</t>
  </si>
  <si>
    <r>
      <rPr>
        <b/>
        <sz val="11"/>
        <color rgb="FF000000"/>
        <rFont val="Selawik"/>
      </rPr>
      <t xml:space="preserve">PONTUAÇÃO
</t>
    </r>
    <r>
      <rPr>
        <b/>
        <sz val="8"/>
        <color rgb="FF000000"/>
        <rFont val="Selawik"/>
      </rPr>
      <t>(cálculo automático)</t>
    </r>
  </si>
  <si>
    <t> Se tenho uma discussão boba com um amigo próximo ou com meu parceiro, isso me deixa mal-humorado durante horas, ou por mais tempo até.</t>
  </si>
  <si>
    <t>Se outro motorista usa o acostamento para furar uma longa fila no engarrafamento, costumo superar a raiva com facilidade, em vez de ficar enfezado por muito tempo.</t>
  </si>
  <si>
    <t>Nas vezes em que vivenciei um sofrimento profundo, como a morte de uma pessoa querida, isso interferiu na minha capacidade de agir normalmente durante muitos meses.</t>
  </si>
  <si>
    <t>Se cometo um erro no trabalho e sou repreendido, consigo deixar o acontecimento para trás e enxergá-lo como uma experiência de aprendizado.</t>
  </si>
  <si>
    <t>Se vou a um restaurante que ainda não conheço e descubro que a comida é horrível e o serviço, ruim, isso estraga toda a minha noite.</t>
  </si>
  <si>
    <t xml:space="preserve"> Se, por causa de um acidente, fico preso no trânsito, quando deixo o engarrafamento para trás costumo pisar fundo no acelerador a fim de descarregar minha frustração, mas continuo fervilhando por dentro.</t>
  </si>
  <si>
    <t>Se o aquecedor de água da minha casa pifa, isso não afeta muito meu humor, pois sei  que para consertá-lo basta chamar um encanador.</t>
  </si>
  <si>
    <t>Se recebo um “não” depois de perguntar a um homem/mulher que conheço se ele/ela gostaria de me encontrar outra vez, fico de mau humor durante horas ou mesmo dias.</t>
  </si>
  <si>
    <t>Se sou candidato a um prêmio importante ou uma promoção no trabalho e outra pessoa, que considero menos qualificada, é quem o/a recebe, geralmente supero depressa a frustração.</t>
  </si>
  <si>
    <t>Em uma festa, se estou conversando com uma pessoa interessante e me vejo completamente sem palavras quando ela faz uma pergunta sobre mim, depois fico repassando mentalmente a conversa – porém pensando no que eu deveria ter dito – durante horas ou mesmo dias.</t>
  </si>
  <si>
    <t>TOTAL</t>
  </si>
  <si>
    <r>
      <rPr>
        <sz val="11"/>
        <color rgb="FF000000"/>
        <rFont val="Selawik"/>
      </rPr>
      <t xml:space="preserve">Se aplicar o teste impresso, considerar que:
Para cada frase </t>
    </r>
    <r>
      <rPr>
        <b/>
        <sz val="11"/>
        <color rgb="FF000000"/>
        <rFont val="Selawik"/>
      </rPr>
      <t>Verdadeira</t>
    </r>
    <r>
      <rPr>
        <sz val="11"/>
        <color rgb="FF000000"/>
        <rFont val="Selawik"/>
      </rPr>
      <t xml:space="preserve"> nos itens </t>
    </r>
    <r>
      <rPr>
        <b/>
        <sz val="11"/>
        <color rgb="FF000000"/>
        <rFont val="Selawik"/>
      </rPr>
      <t>1, 3, 5, 6, 8 e 10</t>
    </r>
    <r>
      <rPr>
        <sz val="11"/>
        <color rgb="FF000000"/>
        <rFont val="Selawik"/>
      </rPr>
      <t xml:space="preserve">, </t>
    </r>
    <r>
      <rPr>
        <b/>
        <sz val="11"/>
        <color rgb="FF000000"/>
        <rFont val="Selawik"/>
      </rPr>
      <t>some um ponto</t>
    </r>
    <r>
      <rPr>
        <sz val="11"/>
        <color rgb="FF000000"/>
        <rFont val="Selawik"/>
      </rPr>
      <t xml:space="preserve"> e não some nada quando sua resposta for Falsa.</t>
    </r>
    <r>
      <rPr>
        <b/>
        <sz val="11"/>
        <color rgb="FF000000"/>
        <rFont val="Selawik"/>
      </rPr>
      <t xml:space="preserve"> Some um ponto para cada afirmativa</t>
    </r>
    <r>
      <rPr>
        <sz val="11"/>
        <color rgb="FF000000"/>
        <rFont val="Selawik"/>
      </rPr>
      <t xml:space="preserve"> </t>
    </r>
    <r>
      <rPr>
        <b/>
        <sz val="11"/>
        <color rgb="FF000000"/>
        <rFont val="Selawik"/>
      </rPr>
      <t>Falsa</t>
    </r>
    <r>
      <rPr>
        <sz val="11"/>
        <color rgb="FF000000"/>
        <rFont val="Selawik"/>
      </rPr>
      <t xml:space="preserve"> nos itens</t>
    </r>
    <r>
      <rPr>
        <b/>
        <sz val="11"/>
        <color rgb="FF000000"/>
        <rFont val="Selawik"/>
      </rPr>
      <t xml:space="preserve"> 2, 4, 7 e 9</t>
    </r>
    <r>
      <rPr>
        <sz val="11"/>
        <color rgb="FF000000"/>
        <rFont val="Selawik"/>
      </rPr>
      <t xml:space="preserve"> e para aquelas a que você respondeu Verdadeira não some nada. Quanto mais alta for a sua pontuação, mais próximo você estará do estilo de recuperação lenta na dimensão Resiliência. Se marcou menos de três pontos, é uma pessoa de recuperação rápida e, portanto, bastante resiliente.</t>
    </r>
  </si>
  <si>
    <t>DIMENSÃO ATITUDE</t>
  </si>
  <si>
    <t>Quando sou convidado a conhecer novas pessoas, fico animado, pensando na possibilidade de fazer novos amigos, em vez de encarar a situação como uma obrigação, imaginando que não valerá a pena.</t>
  </si>
  <si>
    <t xml:space="preserve"> Ao avaliar um colega de trabalho, eu me concentro nos detalhes que ele precisa  melhorar, em vez de pensar em seu desempenho geral positivo.</t>
  </si>
  <si>
    <t>Acredito que os próximos 10 anos serão melhores que os últimos 10.</t>
  </si>
  <si>
    <t>Diante da possibilidade de me mudar para uma nova cidade, encaro a situação como um passo assustador rumo ao desconhecido.</t>
  </si>
  <si>
    <t>Mesmo que eu tenha uma pequena alegria inesperada pela manhã – por exemplo, uma ótima conversa com um estranho –, o bom humor provocado pela surpresa desaparece em poucos minutos.</t>
  </si>
  <si>
    <t>Quando vou a uma festa e me sinto bem no início, a sensação positiva tende a se manter ao longo de toda a noite.</t>
  </si>
  <si>
    <t>Cenas visualmente bonitas, como um pôr do sol maravilhoso, tendem a perder a graça com rapidez, de modo que logo fico entediado.</t>
  </si>
  <si>
    <t>Pela manhã, consigo pensar numa atividade agradável que planejei, e o bom humor que isso me causa se prolonga pelo dia inteiro.</t>
  </si>
  <si>
    <t>Quando vou a um museu ou assisto a um concerto, os primeiro minutos são muito agradáveis, mas essa sensação não dura muito.</t>
  </si>
  <si>
    <t>Mesmo nos dias agitados, passo de um evento ao seguinte sem me sentir cansado.</t>
  </si>
  <si>
    <r>
      <rPr>
        <sz val="11"/>
        <color rgb="FF000000"/>
        <rFont val="Selawik"/>
      </rPr>
      <t xml:space="preserve">Se aplicar o teste impresso, considerar que:
</t>
    </r>
    <r>
      <rPr>
        <b/>
        <sz val="11"/>
        <color rgb="FF000000"/>
        <rFont val="Selawik"/>
      </rPr>
      <t>Some um ponto para cada frase considerada</t>
    </r>
    <r>
      <rPr>
        <sz val="11"/>
        <color rgb="FF000000"/>
        <rFont val="Selawik"/>
      </rPr>
      <t xml:space="preserve"> </t>
    </r>
    <r>
      <rPr>
        <b/>
        <sz val="11"/>
        <color rgb="FF000000"/>
        <rFont val="Selawik"/>
      </rPr>
      <t>Verdadeira</t>
    </r>
    <r>
      <rPr>
        <sz val="11"/>
        <color rgb="FF000000"/>
        <rFont val="Selawik"/>
      </rPr>
      <t xml:space="preserve"> nos itens </t>
    </r>
    <r>
      <rPr>
        <b/>
        <sz val="11"/>
        <color rgb="FF000000"/>
        <rFont val="Selawik"/>
      </rPr>
      <t>1, 2, 3, 6, 8 e 10</t>
    </r>
    <r>
      <rPr>
        <sz val="11"/>
        <color rgb="FF000000"/>
        <rFont val="Selawik"/>
      </rPr>
      <t xml:space="preserve"> e não 
some nada se sua resposta foi Falsa. </t>
    </r>
    <r>
      <rPr>
        <b/>
        <sz val="11"/>
        <color rgb="FF000000"/>
        <rFont val="Selawik"/>
      </rPr>
      <t>Some um ponto para cada resposta Falsa nos itens</t>
    </r>
    <r>
      <rPr>
        <sz val="11"/>
        <color rgb="FF000000"/>
        <rFont val="Selawik"/>
      </rPr>
      <t xml:space="preserve"> </t>
    </r>
    <r>
      <rPr>
        <b/>
        <sz val="11"/>
        <color rgb="FF000000"/>
        <rFont val="Selawik"/>
      </rPr>
      <t>4, 5, 7 e 9</t>
    </r>
    <r>
      <rPr>
        <sz val="11"/>
        <color rgb="FF000000"/>
        <rFont val="Selawik"/>
      </rPr>
      <t xml:space="preserve"> e nada para cada resposta Verdadeira. Quanto mais alta for sua pontuação, mais perto você estará do extremo positivo da dimensão Atitude. Qualquer pontuação acima de 7 representa um tipo positivo, e uma pontuação abaixo de 3 caracteriza um tipo negativo.</t>
    </r>
  </si>
  <si>
    <t>DIMENSÃO INTUIÇÃO SOCIAL</t>
  </si>
  <si>
    <t>Quando converso com alguém, costumo notar sinais sutis das emoções de meu interlocutor – desconforto ou raiva, por exemplo – antes que ele me diga o que está sentindo.</t>
  </si>
  <si>
    <t>Muitas vezes me pego reparando nas expressões faciais e na linguagem corporal das pessoas.</t>
  </si>
  <si>
    <t>Para mim não faz muita diferença se converso com alguém ao telefone ou pessoalmente, pois não costumo captar informações adicionais ao ver a pessoa com quem estou falando.</t>
  </si>
  <si>
    <t>Com frequência sinto que sei mais sobre os verdadeiros sentimentos das pessoas do que elas próprias.</t>
  </si>
  <si>
    <t>Muitas vezes sou pego de surpresa quando alguém com quem estou conversando fica bravo ou magoado, sem razão aparente, com algo que eu disse.</t>
  </si>
  <si>
    <t>Em um restaurante, prefiro me sentar ao lado da pessoa com quem estou, assim não preciso ver seu rosto de frente.</t>
  </si>
  <si>
    <t>Muitas vezes me pego reagindo ao desconforto ou ao sofrimento de outra pessoa com base numa sensação intuitiva, e não numa conversa explícita.</t>
  </si>
  <si>
    <t>Quando estou em lugares públicos e não tenho nada que fazer, gosto de observar as pessoas ao meu redor.</t>
  </si>
  <si>
    <t>Sinto-me desconfortável quando uma pessoa que mal conheço me encara durante uma conversa.</t>
  </si>
  <si>
    <t>Muitas vezes, basta-me olhar para outra pessoa para saber que algo a está incomodando.</t>
  </si>
  <si>
    <r>
      <rPr>
        <sz val="11"/>
        <color rgb="FF000000"/>
        <rFont val="Selawik"/>
      </rPr>
      <t xml:space="preserve">Se aplicar o teste impresso, considerar que:
</t>
    </r>
    <r>
      <rPr>
        <b/>
        <sz val="11"/>
        <color rgb="FF000000"/>
        <rFont val="Selawik"/>
      </rPr>
      <t>Some um ponto para cada afirmativa considerada</t>
    </r>
    <r>
      <rPr>
        <sz val="11"/>
        <color rgb="FF000000"/>
        <rFont val="Selawik"/>
      </rPr>
      <t xml:space="preserve"> </t>
    </r>
    <r>
      <rPr>
        <b/>
        <sz val="11"/>
        <color rgb="FF000000"/>
        <rFont val="Selawik"/>
      </rPr>
      <t>Verdadeira</t>
    </r>
    <r>
      <rPr>
        <sz val="11"/>
        <color rgb="FF000000"/>
        <rFont val="Selawik"/>
      </rPr>
      <t xml:space="preserve"> </t>
    </r>
    <r>
      <rPr>
        <b/>
        <sz val="11"/>
        <color rgb="FF000000"/>
        <rFont val="Selawik"/>
      </rPr>
      <t xml:space="preserve">nos itens 1, 2, 4, 7, 8 e 10.; </t>
    </r>
    <r>
      <rPr>
        <sz val="11"/>
        <color rgb="FF000000"/>
        <rFont val="Selawik"/>
      </rPr>
      <t>Some um ponto para as sentenças a que você respondeu Falsa nos itens 3, 5, 6 e 9</t>
    </r>
    <r>
      <rPr>
        <b/>
        <sz val="11"/>
        <color rgb="FF000000"/>
        <rFont val="Selawik"/>
      </rPr>
      <t>.</t>
    </r>
    <r>
      <rPr>
        <sz val="11"/>
        <color rgb="FF000000"/>
        <rFont val="Selawik"/>
      </rPr>
      <t xml:space="preserve"> Não some nada para resposta Falsa nos itens 1, 2, 4, 7, 8 e 10 nem para resposta Verdadeira nos itens 3, 5, 6  e 9. Quanto mais alta for a sua pontuação, maior será a sua Intuição Social. Uma pontuação mais baixa sinalizará que você está mais propenso a ser socialmente desnorteado.</t>
    </r>
  </si>
  <si>
    <t>DIMENSÃO AUTOPERCEPÇÃO</t>
  </si>
  <si>
    <t>Muitas vezes, quando alguém me pergunta por que estou tão irritado ou triste, respondo (ou penso comigo mesmo): “Mas não estou!”</t>
  </si>
  <si>
    <t>Quando as pessoas mais próximas a mim perguntam por que tratei alguém de forma tão rude ou grosseira, muitas vezes discordo delas, acreditando que sua avaliação de meu comportamento está equivocada.</t>
  </si>
  <si>
    <t>Com frequência percebo que meu coração está batendo acelerado, mas não sei por que isso está acontecendo.</t>
  </si>
  <si>
    <t>Quando vejo uma pessoa sofrendo, também sinto essa dor, tanto emocional como fisicamente.</t>
  </si>
  <si>
    <t>Geralmente percebo como estou me sentindo de forma tão precisa que consigo descrever minhas emoções.</t>
  </si>
  <si>
    <t>Às vezes noto dores e incômodos e não sei de onde vieram.</t>
  </si>
  <si>
    <t>Gosto de passar algum tempo tranquilo e relaxado, apenas sentindo o que está acontecendo dentro de mim.</t>
  </si>
  <si>
    <t>Sinto-me em harmonia com meu corpo e me relaciono com ele de forma confortável e espontânea.</t>
  </si>
  <si>
    <t>Sinto-me fortemente orientado para o mundo exterior e poucas vezes percebo o que está acontecendo em meu corpo.</t>
  </si>
  <si>
    <t>Quando faço um exercício, sou muito sensível às mudanças que a atividade provoca em meu corpo.</t>
  </si>
  <si>
    <r>
      <rPr>
        <sz val="11"/>
        <color rgb="FF000000"/>
        <rFont val="Selawik"/>
      </rPr>
      <t xml:space="preserve">Se aplicar o teste impresso, considerar que:
</t>
    </r>
    <r>
      <rPr>
        <b/>
        <sz val="11"/>
        <color rgb="FF000000"/>
        <rFont val="Selawik"/>
      </rPr>
      <t>Some um ponto para cada resposta</t>
    </r>
    <r>
      <rPr>
        <sz val="11"/>
        <color rgb="FF000000"/>
        <rFont val="Selawik"/>
      </rPr>
      <t xml:space="preserve"> </t>
    </r>
    <r>
      <rPr>
        <b/>
        <sz val="11"/>
        <color rgb="FF000000"/>
        <rFont val="Selawik"/>
      </rPr>
      <t>Verdadeira nos itens 4, 5, 7, 8 e 10</t>
    </r>
    <r>
      <rPr>
        <sz val="11"/>
        <color rgb="FF000000"/>
        <rFont val="Selawik"/>
      </rPr>
      <t xml:space="preserve"> .</t>
    </r>
    <r>
      <rPr>
        <b/>
        <sz val="11"/>
        <color rgb="FF000000"/>
        <rFont val="Selawik"/>
      </rPr>
      <t xml:space="preserve"> Some um ponto para  cada resposta Falsa nos itens 1, 2, 3, 6 e 9.</t>
    </r>
    <r>
      <rPr>
        <sz val="11"/>
        <color rgb="FF000000"/>
        <rFont val="Selawik"/>
      </rPr>
      <t xml:space="preserve"> Não some nada para resposta Falsa nos itens 4, 5, 7, 8 e 10 e para resposta Verdadeira nos itens 1, 2, 3, 6 e 9. Quanto mais alta for a sua pontuação, mais autoperceptivo você é. Oito pontos ou mais indicam que você é autoperceptivo. Uma pontuação abaixo de três indica que você é autoignorante.</t>
    </r>
  </si>
  <si>
    <t>DIMENSÃO SENSIBILIDADE DO CONTEXTO</t>
  </si>
  <si>
    <t>Uma pessoa próxima disse que costumo ser insensível aos sentimentos dos outros.</t>
  </si>
  <si>
    <t>Algumas vezes já me disseram que me comportei de maneira socialmente inadequada e fiquei surpreso com isso.</t>
  </si>
  <si>
    <t>Já tive problemas no trabalho ou desentendimentos com amigos por me comportar de modo íntimo demais com um superior ou alegre demais com um bom amigo que estava magoado.</t>
  </si>
  <si>
    <t>Quando converso com as pessoas, elas às vezes se afastam um pouco, aumentando a distância ente nós.</t>
  </si>
  <si>
    <t>Frequentemente me pego censurando o que eu estava prestes a dizer, por sentir que algo naquela situação tornaria minhas palavras inadequadas (por exemplo, antes de responder à pergunta: “Querido, esta calça me deixa gorda?”).</t>
  </si>
  <si>
    <t>Quando estou num ambiente público, como em um restaurante, sei regular muito bem o volume da minha voz.</t>
  </si>
  <si>
    <t>Já me disseram muitas vezes, quando eu estava em local público, que deveria evitar citar os nomes de pessoas que estivessem por perto.</t>
  </si>
  <si>
    <t>Quase sempre reconheço lugares em que já estive, mesmo que muitos anos atrás.</t>
  </si>
  <si>
    <t>Percebo quando uma pessoa está se comportando de maneira inapropriada, como quando alguém está descontraído demais no trabalho.</t>
  </si>
  <si>
    <t>Uma pessoa próxima já me disse que tenho boas maneiras ao lidar com estranhos em situações novas.</t>
  </si>
  <si>
    <r>
      <rPr>
        <sz val="11"/>
        <color rgb="FF000000"/>
        <rFont val="Selawik"/>
      </rPr>
      <t xml:space="preserve">Se aplicar o teste impresso, considerar que:
</t>
    </r>
    <r>
      <rPr>
        <b/>
        <sz val="11"/>
        <color rgb="FF000000"/>
        <rFont val="Selawik"/>
      </rPr>
      <t>Some um ponto para cada resposta</t>
    </r>
    <r>
      <rPr>
        <sz val="11"/>
        <color rgb="FF000000"/>
        <rFont val="Selawik"/>
      </rPr>
      <t xml:space="preserve"> </t>
    </r>
    <r>
      <rPr>
        <b/>
        <sz val="11"/>
        <color rgb="FF000000"/>
        <rFont val="Selawik"/>
      </rPr>
      <t>Verdadeira nos itens 1, 5, 6, 8, 9 e 10. Some um ponto para cada resposta Falsa nos itens 2, 3, 4 e 7</t>
    </r>
    <r>
      <rPr>
        <sz val="11"/>
        <color rgb="FF000000"/>
        <rFont val="Selawik"/>
      </rPr>
      <t>. Não some nada para resposta Falsa nos itens 1, 5, 6, 8, 9 e 10 e para resposta Verdadeira nos itens 2, 3, 4 e 7. Se sua pontuação ficou abaixo de três, você está do lado desligado do espectro. Uma pontuação de oito ou mais indica que você é muito antenado no contexto.</t>
    </r>
  </si>
  <si>
    <t>DIMENSÃO ATENÇÃO</t>
  </si>
  <si>
    <t>Consigo me concentrar em um ambiente barulhento.</t>
  </si>
  <si>
    <t>Quando há muitas coisas acontecendo à minha volta e uma grande quantidade de estímulos sensoriais, como numa festa ou num aeroporto tumultuado, consigo não me perder em pensamentos sobre o que quer que eu esteja vendo.</t>
  </si>
  <si>
    <t>Se eu decidir concentrar minha atenção numa tarefa específica, quase sempre consigo.</t>
  </si>
  <si>
    <t>Quando tento trabalhar em casa, o som da televisão ou de outras pessoas me distrai muito.</t>
  </si>
  <si>
    <t>Se eu ficar sentado tranquilamente por uns poucos momentos, uma torrente de pensamentos invade minha mente e logo estou seguindo vários raciocínios, sem nem sequer saber onde cada um deles começou.</t>
  </si>
  <si>
    <t>Se eu me distrair com algum evento inesperado, consigo voltar a me concentrar no que estava fazendo.</t>
  </si>
  <si>
    <t xml:space="preserve">Durante períodos de relativa tranquilidade, como quando estou sentado em um trem ou
ônibus, ou esperando em uma fila, noto muito do que acontece ao meu redor.
</t>
  </si>
  <si>
    <t>Quando me dedico a um projeto importante que requer toda a minha atenção, tento trabalhar no lugar mais calmo que eu consiga encontrar.</t>
  </si>
  <si>
    <t>Minha atenção tende a ser atraída por estímulos e eventos do ambiente e, uma vez que isso acontece, tenho dificuldade em me desligar deles.</t>
  </si>
  <si>
    <t>Tenho facilidade em conversar com uma pessoa numa situação em que haja muita gente ao redor, como numa festa ou no escritório; consigo me desligar dos outros em ambientes assim, mesmo quando, concentrando-me, consigo distinguir o que estão dizendo.</t>
  </si>
  <si>
    <r>
      <rPr>
        <sz val="11"/>
        <color rgb="FF000000"/>
        <rFont val="Selawik"/>
      </rPr>
      <t xml:space="preserve">Se aplicar o teste impresso, considerar que:
</t>
    </r>
    <r>
      <rPr>
        <b/>
        <sz val="11"/>
        <color rgb="FF000000"/>
        <rFont val="Selawik"/>
      </rPr>
      <t>Some um ponto para cada resposta Verdadeira nos itens 1, 2, 3, 6, 7 e 10. Some um para cada resposta</t>
    </r>
    <r>
      <rPr>
        <sz val="11"/>
        <color rgb="FF000000"/>
        <rFont val="Selawik"/>
      </rPr>
      <t xml:space="preserve"> </t>
    </r>
    <r>
      <rPr>
        <b/>
        <sz val="11"/>
        <color rgb="FF000000"/>
        <rFont val="Selawik"/>
      </rPr>
      <t>Falsa nos itens 4, 5, 8 e 9</t>
    </r>
    <r>
      <rPr>
        <sz val="11"/>
        <color rgb="FF000000"/>
        <rFont val="Selawik"/>
      </rPr>
      <t>. Não some nada para resposta Falsa nos itens 1, 2, 3, 6, 7 e 10 e para resposta Verdadeira nos itens 4, 5, 8 e 9. Uma pontuação de oito  ou  mais significa que você se situa no extremo concentrado da dimensão Atenção; uma pontuação  de três ou menos significa que você tende a ser desconcentrado.</t>
    </r>
  </si>
  <si>
    <t>•     Agora, de acordo com sua pontuação nos seis questionários, faça uma marca em cada linha, na planilha "Tabulação".</t>
  </si>
  <si>
    <t>Resiliência</t>
  </si>
  <si>
    <t>Recuperação Rápida</t>
  </si>
  <si>
    <t>Recuperação Lenta</t>
  </si>
  <si>
    <t>Atitude</t>
  </si>
  <si>
    <t>Postura negativa</t>
  </si>
  <si>
    <t>Postura positiva</t>
  </si>
  <si>
    <t>Intuição Social</t>
  </si>
  <si>
    <t>Socialmente desnorteado</t>
  </si>
  <si>
    <t>Socialmente Intuitivo</t>
  </si>
  <si>
    <t>Autopercepção</t>
  </si>
  <si>
    <t>Autoignorante</t>
  </si>
  <si>
    <t>Autoperceptivo</t>
  </si>
  <si>
    <t>Sensibilidade do Contexto</t>
  </si>
  <si>
    <t>Desligado</t>
  </si>
  <si>
    <t>Antenado</t>
  </si>
  <si>
    <t>Atenção</t>
  </si>
  <si>
    <t>Desconcentrado</t>
  </si>
  <si>
    <t>Concentrado</t>
  </si>
  <si>
    <r>
      <rPr>
        <b/>
        <sz val="12"/>
        <color rgb="FF000000"/>
        <rFont val="Selawik"/>
        <family val="2"/>
      </rPr>
      <t>PONTUAÇÃO</t>
    </r>
    <r>
      <rPr>
        <b/>
        <sz val="11"/>
        <color rgb="FF000000"/>
        <rFont val="Selawik"/>
        <family val="2"/>
      </rPr>
      <t xml:space="preserve">
</t>
    </r>
    <r>
      <rPr>
        <b/>
        <sz val="8"/>
        <color rgb="FF000000"/>
        <rFont val="Selawik"/>
      </rPr>
      <t>(cálculo automático)</t>
    </r>
  </si>
  <si>
    <r>
      <rPr>
        <b/>
        <sz val="12"/>
        <color rgb="FF000000"/>
        <rFont val="Selawik"/>
        <family val="2"/>
      </rPr>
      <t>PONTUAÇÃO</t>
    </r>
    <r>
      <rPr>
        <b/>
        <sz val="11"/>
        <color rgb="FF000000"/>
        <rFont val="Selawik"/>
      </rPr>
      <t xml:space="preserve">
</t>
    </r>
    <r>
      <rPr>
        <b/>
        <sz val="8"/>
        <color rgb="FF000000"/>
        <rFont val="Selawik"/>
      </rPr>
      <t>(cálculo automático)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</si>
</sst>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0"/>
      <name val="Selawik"/>
      <family val="2"/>
    </font>
    <font>
      <b/>
      <sz val="11"/>
      <color theme="1"/>
      <name val="Selawik"/>
      <family val="2"/>
    </font>
    <font>
      <sz val="11"/>
      <color theme="1"/>
      <name val="Selawik"/>
      <family val="2"/>
    </font>
    <font>
      <b/>
      <sz val="12"/>
      <color theme="1"/>
      <name val="Selawik"/>
      <family val="2"/>
    </font>
    <font>
      <sz val="12"/>
      <color theme="1"/>
      <name val="Selawik"/>
      <family val="2"/>
    </font>
    <font>
      <b/>
      <sz val="16"/>
      <color rgb="FFEA5A0B"/>
      <name val="Selawik"/>
      <family val="2"/>
    </font>
    <font>
      <b/>
      <sz val="12"/>
      <color theme="0"/>
      <name val="Selawik"/>
      <family val="2"/>
    </font>
    <font>
      <b/>
      <sz val="11"/>
      <name val="Selawik"/>
      <family val="2"/>
    </font>
    <font>
      <b/>
      <u/>
      <sz val="16"/>
      <color rgb="FFEA5A0B"/>
      <name val="Selawik"/>
      <family val="2"/>
    </font>
    <font>
      <sz val="11"/>
      <color rgb="FF000000"/>
      <name val="Selawik"/>
    </font>
    <font>
      <b/>
      <sz val="11"/>
      <color rgb="FF000000"/>
      <name val="Selawik"/>
    </font>
    <font>
      <b/>
      <sz val="8"/>
      <color rgb="FF000000"/>
      <name val="Selawik"/>
    </font>
    <font>
      <b/>
      <sz val="18"/>
      <color rgb="FFEA5A0B"/>
      <name val="Selawik"/>
      <family val="2"/>
    </font>
    <font>
      <b/>
      <sz val="11"/>
      <color rgb="FF000000"/>
      <name val="Selawik"/>
      <family val="2"/>
    </font>
    <font>
      <b/>
      <sz val="12"/>
      <color rgb="FF000000"/>
      <name val="Selawik"/>
      <family val="2"/>
    </font>
  </fonts>
  <fills count="5">
    <fill>
      <patternFill patternType="none"/>
    </fill>
    <fill>
      <patternFill patternType="gray125"/>
    </fill>
    <fill>
      <patternFill patternType="solid">
        <fgColor rgb="FFEA5A0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0" fillId="3" borderId="4" xfId="0" applyFill="1" applyBorder="1"/>
    <xf numFmtId="0" fontId="11" fillId="3" borderId="5" xfId="0" applyFont="1" applyFill="1" applyBorder="1" applyAlignment="1">
      <alignment vertical="center"/>
    </xf>
    <xf numFmtId="0" fontId="0" fillId="3" borderId="6" xfId="0" applyFill="1" applyBorder="1"/>
    <xf numFmtId="0" fontId="0" fillId="3" borderId="7" xfId="0" applyFill="1" applyBorder="1"/>
    <xf numFmtId="0" fontId="11" fillId="3" borderId="0" xfId="0" applyFont="1" applyFill="1" applyAlignment="1">
      <alignment vertical="center"/>
    </xf>
    <xf numFmtId="0" fontId="0" fillId="3" borderId="8" xfId="0" applyFill="1" applyBorder="1"/>
    <xf numFmtId="0" fontId="10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5" fillId="3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/>
    </xf>
    <xf numFmtId="0" fontId="0" fillId="3" borderId="9" xfId="0" applyFill="1" applyBorder="1"/>
    <xf numFmtId="0" fontId="6" fillId="3" borderId="10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vertical="center" wrapText="1"/>
    </xf>
    <xf numFmtId="0" fontId="5" fillId="3" borderId="10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vertical="center"/>
    </xf>
    <xf numFmtId="0" fontId="0" fillId="3" borderId="11" xfId="0" applyFill="1" applyBorder="1"/>
    <xf numFmtId="0" fontId="1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/>
    </xf>
    <xf numFmtId="0" fontId="5" fillId="3" borderId="0" xfId="0" applyFont="1" applyFill="1"/>
    <xf numFmtId="0" fontId="8" fillId="3" borderId="0" xfId="0" applyFont="1" applyFill="1"/>
    <xf numFmtId="0" fontId="5" fillId="3" borderId="0" xfId="0" applyFont="1" applyFill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15" fillId="3" borderId="5" xfId="0" applyFont="1" applyFill="1" applyBorder="1" applyAlignment="1">
      <alignment horizontal="center"/>
    </xf>
    <xf numFmtId="0" fontId="15" fillId="3" borderId="0" xfId="0" applyFont="1" applyFill="1" applyAlignment="1">
      <alignment horizontal="center"/>
    </xf>
    <xf numFmtId="0" fontId="12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5A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213114</xdr:colOff>
      <xdr:row>1</xdr:row>
      <xdr:rowOff>114300</xdr:rowOff>
    </xdr:from>
    <xdr:to>
      <xdr:col>3</xdr:col>
      <xdr:colOff>666751</xdr:colOff>
      <xdr:row>2</xdr:row>
      <xdr:rowOff>367686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59A42CF-9F3E-A7FA-87EE-5D01517C8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114" y="114300"/>
          <a:ext cx="710812" cy="396261"/>
        </a:xfrm>
        <a:prstGeom prst="rect">
          <a:avLst/>
        </a:prstGeom>
      </xdr:spPr>
    </xdr:pic>
    <xdr:clientData/>
  </xdr:twoCellAnchor>
  <xdr:twoCellAnchor editAs="oneCell">
    <xdr:from>
      <xdr:col>3</xdr:col>
      <xdr:colOff>587376</xdr:colOff>
      <xdr:row>2</xdr:row>
      <xdr:rowOff>587376</xdr:rowOff>
    </xdr:from>
    <xdr:to>
      <xdr:col>5</xdr:col>
      <xdr:colOff>317501</xdr:colOff>
      <xdr:row>3</xdr:row>
      <xdr:rowOff>251999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20680C8-8338-19EE-29A4-45BE2CB921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6436" b="49473"/>
        <a:stretch/>
      </xdr:blipFill>
      <xdr:spPr>
        <a:xfrm>
          <a:off x="1524001" y="936626"/>
          <a:ext cx="6953250" cy="2837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77"/>
  <sheetViews>
    <sheetView showGridLines="0" tabSelected="1" zoomScale="80" zoomScaleNormal="80" workbookViewId="0">
      <selection activeCell="F9" sqref="F9"/>
    </sheetView>
  </sheetViews>
  <sheetFormatPr defaultRowHeight="15.75" x14ac:dyDescent="0.25"/>
  <cols>
    <col min="1" max="1" width="5.7109375" customWidth="1"/>
    <col min="2" max="2" width="4.5703125" customWidth="1"/>
    <col min="3" max="3" width="3.85546875" style="8" bestFit="1" customWidth="1"/>
    <col min="4" max="4" width="95.85546875" style="12" customWidth="1"/>
    <col min="5" max="5" width="12.28515625" style="10" customWidth="1"/>
    <col min="6" max="6" width="20.85546875" style="11" customWidth="1"/>
  </cols>
  <sheetData>
    <row r="2" spans="2:7" ht="11.25" customHeight="1" x14ac:dyDescent="0.25">
      <c r="B2" s="19"/>
      <c r="C2" s="20"/>
      <c r="D2" s="44" t="s">
        <v>0</v>
      </c>
      <c r="E2" s="44"/>
      <c r="F2" s="44"/>
      <c r="G2" s="21"/>
    </row>
    <row r="3" spans="2:7" ht="48.75" customHeight="1" x14ac:dyDescent="0.25">
      <c r="B3" s="22"/>
      <c r="C3" s="23"/>
      <c r="D3" s="45"/>
      <c r="E3" s="45"/>
      <c r="F3" s="45"/>
      <c r="G3" s="24"/>
    </row>
    <row r="4" spans="2:7" ht="65.25" customHeight="1" x14ac:dyDescent="0.25">
      <c r="B4" s="22"/>
      <c r="C4" s="25"/>
      <c r="D4" s="25"/>
      <c r="E4" s="25"/>
      <c r="F4" s="25"/>
      <c r="G4" s="24"/>
    </row>
    <row r="5" spans="2:7" ht="30" x14ac:dyDescent="0.25">
      <c r="B5" s="22"/>
      <c r="C5" s="26"/>
      <c r="D5" s="3" t="s">
        <v>1</v>
      </c>
      <c r="E5" s="37" t="s">
        <v>2</v>
      </c>
      <c r="F5" s="36" t="s">
        <v>95</v>
      </c>
      <c r="G5" s="24"/>
    </row>
    <row r="6" spans="2:7" ht="33" x14ac:dyDescent="0.25">
      <c r="B6" s="22"/>
      <c r="C6" s="4">
        <v>1</v>
      </c>
      <c r="D6" s="38" t="s">
        <v>4</v>
      </c>
      <c r="E6" s="13"/>
      <c r="F6" s="14">
        <f>COUNTIF(E6,"V")</f>
        <v>0</v>
      </c>
      <c r="G6" s="24"/>
    </row>
    <row r="7" spans="2:7" ht="33" x14ac:dyDescent="0.25">
      <c r="B7" s="22"/>
      <c r="C7" s="4">
        <v>2</v>
      </c>
      <c r="D7" s="38" t="s">
        <v>5</v>
      </c>
      <c r="E7" s="15"/>
      <c r="F7" s="16">
        <f>COUNTIF(E7,"F")</f>
        <v>0</v>
      </c>
      <c r="G7" s="24"/>
    </row>
    <row r="8" spans="2:7" ht="33" x14ac:dyDescent="0.25">
      <c r="B8" s="22"/>
      <c r="C8" s="4">
        <v>3</v>
      </c>
      <c r="D8" s="38" t="s">
        <v>6</v>
      </c>
      <c r="E8" s="15"/>
      <c r="F8" s="16">
        <f>COUNTIF(E8,"V")</f>
        <v>0</v>
      </c>
      <c r="G8" s="24"/>
    </row>
    <row r="9" spans="2:7" ht="33" x14ac:dyDescent="0.25">
      <c r="B9" s="22"/>
      <c r="C9" s="4">
        <v>4</v>
      </c>
      <c r="D9" s="38" t="s">
        <v>7</v>
      </c>
      <c r="E9" s="15"/>
      <c r="F9" s="16">
        <f>COUNTIF(E9,"F")</f>
        <v>0</v>
      </c>
      <c r="G9" s="24"/>
    </row>
    <row r="10" spans="2:7" ht="33" x14ac:dyDescent="0.25">
      <c r="B10" s="22"/>
      <c r="C10" s="4">
        <v>5</v>
      </c>
      <c r="D10" s="38" t="s">
        <v>8</v>
      </c>
      <c r="E10" s="15"/>
      <c r="F10" s="16">
        <f>COUNTIF(E10,"V")</f>
        <v>0</v>
      </c>
      <c r="G10" s="24"/>
    </row>
    <row r="11" spans="2:7" ht="49.5" x14ac:dyDescent="0.25">
      <c r="B11" s="22"/>
      <c r="C11" s="4">
        <v>6</v>
      </c>
      <c r="D11" s="38" t="s">
        <v>9</v>
      </c>
      <c r="E11" s="15"/>
      <c r="F11" s="16">
        <f>COUNTIF(E11,"V")</f>
        <v>0</v>
      </c>
      <c r="G11" s="24"/>
    </row>
    <row r="12" spans="2:7" ht="33" x14ac:dyDescent="0.25">
      <c r="B12" s="22"/>
      <c r="C12" s="4">
        <v>7</v>
      </c>
      <c r="D12" s="38" t="s">
        <v>10</v>
      </c>
      <c r="E12" s="15"/>
      <c r="F12" s="16">
        <f>COUNTIF(E12,"F")</f>
        <v>0</v>
      </c>
      <c r="G12" s="24"/>
    </row>
    <row r="13" spans="2:7" ht="33" x14ac:dyDescent="0.25">
      <c r="B13" s="22"/>
      <c r="C13" s="4">
        <v>8</v>
      </c>
      <c r="D13" s="38" t="s">
        <v>11</v>
      </c>
      <c r="E13" s="15"/>
      <c r="F13" s="16">
        <f>COUNTIF(E13,"V")</f>
        <v>0</v>
      </c>
      <c r="G13" s="24"/>
    </row>
    <row r="14" spans="2:7" ht="33" x14ac:dyDescent="0.25">
      <c r="B14" s="22"/>
      <c r="C14" s="4">
        <v>9</v>
      </c>
      <c r="D14" s="38" t="s">
        <v>12</v>
      </c>
      <c r="E14" s="15"/>
      <c r="F14" s="16">
        <f>COUNTIF(E14,"F")</f>
        <v>0</v>
      </c>
      <c r="G14" s="24"/>
    </row>
    <row r="15" spans="2:7" ht="49.5" x14ac:dyDescent="0.25">
      <c r="B15" s="22"/>
      <c r="C15" s="4">
        <v>10</v>
      </c>
      <c r="D15" s="38" t="s">
        <v>13</v>
      </c>
      <c r="E15" s="15"/>
      <c r="F15" s="16">
        <f>COUNTIF(E15,"V")</f>
        <v>0</v>
      </c>
      <c r="G15" s="24"/>
    </row>
    <row r="16" spans="2:7" ht="16.5" x14ac:dyDescent="0.25">
      <c r="B16" s="22"/>
      <c r="C16" s="26"/>
      <c r="D16" s="27"/>
      <c r="E16" s="39" t="s">
        <v>14</v>
      </c>
      <c r="F16" s="17">
        <f>SUM(F6:F15)</f>
        <v>0</v>
      </c>
      <c r="G16" s="24"/>
    </row>
    <row r="17" spans="2:7" ht="93" customHeight="1" x14ac:dyDescent="0.25">
      <c r="B17" s="22"/>
      <c r="C17" s="46" t="s">
        <v>15</v>
      </c>
      <c r="D17" s="47"/>
      <c r="E17" s="47"/>
      <c r="F17" s="47"/>
      <c r="G17" s="24"/>
    </row>
    <row r="18" spans="2:7" ht="45" customHeight="1" x14ac:dyDescent="0.25">
      <c r="B18" s="22"/>
      <c r="C18" s="26"/>
      <c r="D18" s="28"/>
      <c r="E18" s="29"/>
      <c r="F18" s="27"/>
      <c r="G18" s="24"/>
    </row>
    <row r="19" spans="2:7" ht="30" x14ac:dyDescent="0.25">
      <c r="B19" s="22"/>
      <c r="C19" s="26"/>
      <c r="D19" s="3" t="s">
        <v>16</v>
      </c>
      <c r="E19" s="37" t="s">
        <v>2</v>
      </c>
      <c r="F19" s="36" t="s">
        <v>96</v>
      </c>
      <c r="G19" s="24"/>
    </row>
    <row r="20" spans="2:7" ht="49.5" x14ac:dyDescent="0.25">
      <c r="B20" s="22"/>
      <c r="C20" s="4">
        <v>1</v>
      </c>
      <c r="D20" s="38" t="s">
        <v>17</v>
      </c>
      <c r="E20" s="15"/>
      <c r="F20" s="16">
        <f>COUNTIF(E20,"V")</f>
        <v>0</v>
      </c>
      <c r="G20" s="24"/>
    </row>
    <row r="21" spans="2:7" ht="33" x14ac:dyDescent="0.25">
      <c r="B21" s="22"/>
      <c r="C21" s="4">
        <v>2</v>
      </c>
      <c r="D21" s="38" t="s">
        <v>18</v>
      </c>
      <c r="E21" s="15"/>
      <c r="F21" s="16">
        <f t="shared" ref="F21:F22" si="0">COUNTIF(E21,"V")</f>
        <v>0</v>
      </c>
      <c r="G21" s="24"/>
    </row>
    <row r="22" spans="2:7" ht="16.5" x14ac:dyDescent="0.25">
      <c r="B22" s="22"/>
      <c r="C22" s="4">
        <v>3</v>
      </c>
      <c r="D22" s="38" t="s">
        <v>19</v>
      </c>
      <c r="E22" s="15"/>
      <c r="F22" s="16">
        <f t="shared" si="0"/>
        <v>0</v>
      </c>
      <c r="G22" s="24"/>
    </row>
    <row r="23" spans="2:7" ht="33" x14ac:dyDescent="0.25">
      <c r="B23" s="22"/>
      <c r="C23" s="4">
        <v>4</v>
      </c>
      <c r="D23" s="38" t="s">
        <v>20</v>
      </c>
      <c r="E23" s="15"/>
      <c r="F23" s="16">
        <f>COUNTIF(E23,"F")</f>
        <v>0</v>
      </c>
      <c r="G23" s="24"/>
    </row>
    <row r="24" spans="2:7" ht="49.5" x14ac:dyDescent="0.25">
      <c r="B24" s="22"/>
      <c r="C24" s="4">
        <v>5</v>
      </c>
      <c r="D24" s="38" t="s">
        <v>21</v>
      </c>
      <c r="E24" s="15"/>
      <c r="F24" s="16">
        <f>COUNTIF(E24,"F")</f>
        <v>0</v>
      </c>
      <c r="G24" s="24"/>
    </row>
    <row r="25" spans="2:7" ht="33" x14ac:dyDescent="0.25">
      <c r="B25" s="22"/>
      <c r="C25" s="4">
        <v>6</v>
      </c>
      <c r="D25" s="38" t="s">
        <v>22</v>
      </c>
      <c r="E25" s="15"/>
      <c r="F25" s="16">
        <f>COUNTIF(E25,"V")</f>
        <v>0</v>
      </c>
      <c r="G25" s="24"/>
    </row>
    <row r="26" spans="2:7" ht="33" x14ac:dyDescent="0.25">
      <c r="B26" s="22"/>
      <c r="C26" s="4">
        <v>7</v>
      </c>
      <c r="D26" s="38" t="s">
        <v>23</v>
      </c>
      <c r="E26" s="15"/>
      <c r="F26" s="16">
        <f>COUNTIF(E26,"F")</f>
        <v>0</v>
      </c>
      <c r="G26" s="24"/>
    </row>
    <row r="27" spans="2:7" ht="33" x14ac:dyDescent="0.25">
      <c r="B27" s="22"/>
      <c r="C27" s="4">
        <v>8</v>
      </c>
      <c r="D27" s="38" t="s">
        <v>24</v>
      </c>
      <c r="E27" s="15"/>
      <c r="F27" s="16">
        <f>COUNTIF(E27,"V")</f>
        <v>0</v>
      </c>
      <c r="G27" s="24"/>
    </row>
    <row r="28" spans="2:7" ht="33" x14ac:dyDescent="0.25">
      <c r="B28" s="22"/>
      <c r="C28" s="4">
        <v>9</v>
      </c>
      <c r="D28" s="38" t="s">
        <v>25</v>
      </c>
      <c r="E28" s="15"/>
      <c r="F28" s="16">
        <f>COUNTIF(E28,"F")</f>
        <v>0</v>
      </c>
      <c r="G28" s="24"/>
    </row>
    <row r="29" spans="2:7" ht="16.5" x14ac:dyDescent="0.25">
      <c r="B29" s="22"/>
      <c r="C29" s="4">
        <v>10</v>
      </c>
      <c r="D29" s="38" t="s">
        <v>26</v>
      </c>
      <c r="E29" s="15"/>
      <c r="F29" s="16">
        <f>COUNTIF(E29,"V")</f>
        <v>0</v>
      </c>
      <c r="G29" s="24"/>
    </row>
    <row r="30" spans="2:7" ht="16.5" x14ac:dyDescent="0.25">
      <c r="B30" s="22"/>
      <c r="C30" s="26"/>
      <c r="D30" s="27"/>
      <c r="E30" s="39" t="s">
        <v>14</v>
      </c>
      <c r="F30" s="17">
        <f>SUM(F20:F29)</f>
        <v>0</v>
      </c>
      <c r="G30" s="24"/>
    </row>
    <row r="31" spans="2:7" ht="84" customHeight="1" x14ac:dyDescent="0.25">
      <c r="B31" s="22"/>
      <c r="C31" s="46" t="s">
        <v>27</v>
      </c>
      <c r="D31" s="47"/>
      <c r="E31" s="47"/>
      <c r="F31" s="47"/>
      <c r="G31" s="24"/>
    </row>
    <row r="32" spans="2:7" ht="45" customHeight="1" x14ac:dyDescent="0.25">
      <c r="B32" s="22"/>
      <c r="C32" s="26"/>
      <c r="D32" s="28"/>
      <c r="E32" s="29"/>
      <c r="F32" s="27"/>
      <c r="G32" s="24"/>
    </row>
    <row r="33" spans="2:7" ht="30" x14ac:dyDescent="0.25">
      <c r="B33" s="22"/>
      <c r="C33" s="18"/>
      <c r="D33" s="3" t="s">
        <v>28</v>
      </c>
      <c r="E33" s="37" t="s">
        <v>2</v>
      </c>
      <c r="F33" s="36" t="s">
        <v>96</v>
      </c>
      <c r="G33" s="24"/>
    </row>
    <row r="34" spans="2:7" ht="33" x14ac:dyDescent="0.25">
      <c r="B34" s="22"/>
      <c r="C34" s="4">
        <v>1</v>
      </c>
      <c r="D34" s="38" t="s">
        <v>29</v>
      </c>
      <c r="E34" s="15"/>
      <c r="F34" s="16">
        <f>COUNTIF(E34,"V")</f>
        <v>0</v>
      </c>
      <c r="G34" s="24"/>
    </row>
    <row r="35" spans="2:7" ht="16.5" x14ac:dyDescent="0.25">
      <c r="B35" s="22"/>
      <c r="C35" s="4">
        <v>2</v>
      </c>
      <c r="D35" s="38" t="s">
        <v>30</v>
      </c>
      <c r="E35" s="15"/>
      <c r="F35" s="16">
        <f>COUNTIF(E35,"V")</f>
        <v>0</v>
      </c>
      <c r="G35" s="24"/>
    </row>
    <row r="36" spans="2:7" ht="33" x14ac:dyDescent="0.25">
      <c r="B36" s="22"/>
      <c r="C36" s="4">
        <v>3</v>
      </c>
      <c r="D36" s="38" t="s">
        <v>31</v>
      </c>
      <c r="E36" s="15"/>
      <c r="F36" s="16">
        <f>COUNTIF(E36,"f")</f>
        <v>0</v>
      </c>
      <c r="G36" s="24"/>
    </row>
    <row r="37" spans="2:7" ht="33" x14ac:dyDescent="0.25">
      <c r="B37" s="22"/>
      <c r="C37" s="4">
        <v>4</v>
      </c>
      <c r="D37" s="38" t="s">
        <v>32</v>
      </c>
      <c r="E37" s="15"/>
      <c r="F37" s="16">
        <f>COUNTIF(E37,"V")</f>
        <v>0</v>
      </c>
      <c r="G37" s="24"/>
    </row>
    <row r="38" spans="2:7" ht="33" x14ac:dyDescent="0.25">
      <c r="B38" s="22"/>
      <c r="C38" s="4">
        <v>5</v>
      </c>
      <c r="D38" s="38" t="s">
        <v>33</v>
      </c>
      <c r="E38" s="15"/>
      <c r="F38" s="16">
        <f>COUNTIF(E38,"f")</f>
        <v>0</v>
      </c>
      <c r="G38" s="24"/>
    </row>
    <row r="39" spans="2:7" ht="33" x14ac:dyDescent="0.25">
      <c r="B39" s="22"/>
      <c r="C39" s="4">
        <v>6</v>
      </c>
      <c r="D39" s="38" t="s">
        <v>34</v>
      </c>
      <c r="E39" s="15"/>
      <c r="F39" s="16">
        <f>COUNTIF(E39,"f")</f>
        <v>0</v>
      </c>
      <c r="G39" s="24"/>
    </row>
    <row r="40" spans="2:7" ht="33" x14ac:dyDescent="0.25">
      <c r="B40" s="22"/>
      <c r="C40" s="4">
        <v>7</v>
      </c>
      <c r="D40" s="38" t="s">
        <v>35</v>
      </c>
      <c r="E40" s="15"/>
      <c r="F40" s="16">
        <f>COUNTIF(E40,"V")</f>
        <v>0</v>
      </c>
      <c r="G40" s="24"/>
    </row>
    <row r="41" spans="2:7" ht="33" x14ac:dyDescent="0.25">
      <c r="B41" s="22"/>
      <c r="C41" s="4">
        <v>8</v>
      </c>
      <c r="D41" s="38" t="s">
        <v>36</v>
      </c>
      <c r="E41" s="15"/>
      <c r="F41" s="16">
        <f>COUNTIF(E41,"V")</f>
        <v>0</v>
      </c>
      <c r="G41" s="24"/>
    </row>
    <row r="42" spans="2:7" ht="33" x14ac:dyDescent="0.25">
      <c r="B42" s="22"/>
      <c r="C42" s="4">
        <v>9</v>
      </c>
      <c r="D42" s="38" t="s">
        <v>37</v>
      </c>
      <c r="E42" s="15"/>
      <c r="F42" s="16">
        <f>COUNTIF(E42,"f")</f>
        <v>0</v>
      </c>
      <c r="G42" s="24"/>
    </row>
    <row r="43" spans="2:7" ht="16.5" x14ac:dyDescent="0.25">
      <c r="B43" s="22"/>
      <c r="C43" s="4">
        <v>10</v>
      </c>
      <c r="D43" s="38" t="s">
        <v>38</v>
      </c>
      <c r="E43" s="15"/>
      <c r="F43" s="16">
        <f>COUNTIF(E43,"V")</f>
        <v>0</v>
      </c>
      <c r="G43" s="24"/>
    </row>
    <row r="44" spans="2:7" ht="16.5" x14ac:dyDescent="0.25">
      <c r="B44" s="22"/>
      <c r="C44" s="26"/>
      <c r="D44" s="27"/>
      <c r="E44" s="39" t="s">
        <v>14</v>
      </c>
      <c r="F44" s="17">
        <f>SUM(F34:F43)</f>
        <v>0</v>
      </c>
      <c r="G44" s="24"/>
    </row>
    <row r="45" spans="2:7" ht="90.75" customHeight="1" x14ac:dyDescent="0.25">
      <c r="B45" s="22"/>
      <c r="C45" s="46" t="s">
        <v>39</v>
      </c>
      <c r="D45" s="47"/>
      <c r="E45" s="47"/>
      <c r="F45" s="47"/>
      <c r="G45" s="24"/>
    </row>
    <row r="46" spans="2:7" ht="45" customHeight="1" x14ac:dyDescent="0.25">
      <c r="B46" s="22"/>
      <c r="C46" s="26"/>
      <c r="D46" s="28"/>
      <c r="E46" s="29"/>
      <c r="F46" s="27"/>
      <c r="G46" s="24"/>
    </row>
    <row r="47" spans="2:7" ht="30" x14ac:dyDescent="0.25">
      <c r="B47" s="22"/>
      <c r="C47" s="26"/>
      <c r="D47" s="3" t="s">
        <v>40</v>
      </c>
      <c r="E47" s="37" t="s">
        <v>2</v>
      </c>
      <c r="F47" s="36" t="s">
        <v>96</v>
      </c>
      <c r="G47" s="24"/>
    </row>
    <row r="48" spans="2:7" ht="33" x14ac:dyDescent="0.25">
      <c r="B48" s="22"/>
      <c r="C48" s="4">
        <v>1</v>
      </c>
      <c r="D48" s="38" t="s">
        <v>41</v>
      </c>
      <c r="E48" s="15"/>
      <c r="F48" s="16">
        <f>COUNTIF(E48,"F")</f>
        <v>0</v>
      </c>
      <c r="G48" s="24"/>
    </row>
    <row r="49" spans="2:7" ht="49.5" x14ac:dyDescent="0.25">
      <c r="B49" s="22"/>
      <c r="C49" s="4">
        <v>2</v>
      </c>
      <c r="D49" s="38" t="s">
        <v>42</v>
      </c>
      <c r="E49" s="15"/>
      <c r="F49" s="16">
        <f>COUNTIF(E49,"f")</f>
        <v>0</v>
      </c>
      <c r="G49" s="24"/>
    </row>
    <row r="50" spans="2:7" ht="33" x14ac:dyDescent="0.25">
      <c r="B50" s="22"/>
      <c r="C50" s="4">
        <v>3</v>
      </c>
      <c r="D50" s="38" t="s">
        <v>43</v>
      </c>
      <c r="E50" s="15"/>
      <c r="F50" s="16">
        <f>COUNTIF(E50,"f")</f>
        <v>0</v>
      </c>
      <c r="G50" s="24"/>
    </row>
    <row r="51" spans="2:7" ht="16.5" x14ac:dyDescent="0.25">
      <c r="B51" s="22"/>
      <c r="C51" s="4">
        <v>4</v>
      </c>
      <c r="D51" s="38" t="s">
        <v>44</v>
      </c>
      <c r="E51" s="15"/>
      <c r="F51" s="16">
        <f>COUNTIF(E51,"V")</f>
        <v>0</v>
      </c>
      <c r="G51" s="24"/>
    </row>
    <row r="52" spans="2:7" ht="33" x14ac:dyDescent="0.25">
      <c r="B52" s="22"/>
      <c r="C52" s="4">
        <v>5</v>
      </c>
      <c r="D52" s="38" t="s">
        <v>45</v>
      </c>
      <c r="E52" s="15"/>
      <c r="F52" s="16">
        <f>COUNTIF(E52,"V")</f>
        <v>0</v>
      </c>
      <c r="G52" s="24"/>
    </row>
    <row r="53" spans="2:7" ht="16.5" x14ac:dyDescent="0.25">
      <c r="B53" s="22"/>
      <c r="C53" s="4">
        <v>6</v>
      </c>
      <c r="D53" s="38" t="s">
        <v>46</v>
      </c>
      <c r="E53" s="15"/>
      <c r="F53" s="16">
        <f>COUNTIF(E53,"f")</f>
        <v>0</v>
      </c>
      <c r="G53" s="24"/>
    </row>
    <row r="54" spans="2:7" ht="33" x14ac:dyDescent="0.25">
      <c r="B54" s="22"/>
      <c r="C54" s="4">
        <v>7</v>
      </c>
      <c r="D54" s="38" t="s">
        <v>47</v>
      </c>
      <c r="E54" s="15"/>
      <c r="F54" s="16">
        <f>COUNTIF(E54,"V")</f>
        <v>0</v>
      </c>
      <c r="G54" s="24"/>
    </row>
    <row r="55" spans="2:7" ht="33" x14ac:dyDescent="0.25">
      <c r="B55" s="22"/>
      <c r="C55" s="4">
        <v>8</v>
      </c>
      <c r="D55" s="38" t="s">
        <v>48</v>
      </c>
      <c r="E55" s="15"/>
      <c r="F55" s="16">
        <f>COUNTIF(E55,"V")</f>
        <v>0</v>
      </c>
      <c r="G55" s="24"/>
    </row>
    <row r="56" spans="2:7" ht="33" x14ac:dyDescent="0.25">
      <c r="B56" s="22"/>
      <c r="C56" s="4">
        <v>9</v>
      </c>
      <c r="D56" s="38" t="s">
        <v>49</v>
      </c>
      <c r="E56" s="15"/>
      <c r="F56" s="16">
        <f>COUNTIF(E56,"f")</f>
        <v>0</v>
      </c>
      <c r="G56" s="24"/>
    </row>
    <row r="57" spans="2:7" ht="33" x14ac:dyDescent="0.25">
      <c r="B57" s="22"/>
      <c r="C57" s="4">
        <v>10</v>
      </c>
      <c r="D57" s="38" t="s">
        <v>50</v>
      </c>
      <c r="E57" s="15"/>
      <c r="F57" s="16">
        <f>COUNTIF(E57,"V")</f>
        <v>0</v>
      </c>
      <c r="G57" s="24"/>
    </row>
    <row r="58" spans="2:7" ht="16.5" x14ac:dyDescent="0.25">
      <c r="B58" s="22"/>
      <c r="C58" s="26"/>
      <c r="D58" s="27"/>
      <c r="E58" s="39" t="s">
        <v>14</v>
      </c>
      <c r="F58" s="17">
        <f>SUM(F48:F57)</f>
        <v>0</v>
      </c>
      <c r="G58" s="24"/>
    </row>
    <row r="59" spans="2:7" ht="85.5" customHeight="1" x14ac:dyDescent="0.25">
      <c r="B59" s="22"/>
      <c r="C59" s="46" t="s">
        <v>51</v>
      </c>
      <c r="D59" s="47"/>
      <c r="E59" s="47"/>
      <c r="F59" s="47"/>
      <c r="G59" s="24"/>
    </row>
    <row r="60" spans="2:7" ht="42.75" customHeight="1" x14ac:dyDescent="0.25">
      <c r="B60" s="22"/>
      <c r="C60" s="26"/>
      <c r="D60" s="28"/>
      <c r="E60" s="29"/>
      <c r="F60" s="27"/>
      <c r="G60" s="24"/>
    </row>
    <row r="61" spans="2:7" ht="30" x14ac:dyDescent="0.25">
      <c r="B61" s="22"/>
      <c r="C61" s="26"/>
      <c r="D61" s="3" t="s">
        <v>52</v>
      </c>
      <c r="E61" s="37" t="s">
        <v>2</v>
      </c>
      <c r="F61" s="36" t="s">
        <v>96</v>
      </c>
      <c r="G61" s="24"/>
    </row>
    <row r="62" spans="2:7" ht="16.5" x14ac:dyDescent="0.25">
      <c r="B62" s="22"/>
      <c r="C62" s="4">
        <v>1</v>
      </c>
      <c r="D62" s="38" t="s">
        <v>53</v>
      </c>
      <c r="E62" s="15"/>
      <c r="F62" s="16">
        <f>COUNTIF(E62,"V")</f>
        <v>0</v>
      </c>
      <c r="G62" s="24"/>
    </row>
    <row r="63" spans="2:7" ht="33" x14ac:dyDescent="0.25">
      <c r="B63" s="22"/>
      <c r="C63" s="4">
        <v>2</v>
      </c>
      <c r="D63" s="38" t="s">
        <v>54</v>
      </c>
      <c r="E63" s="15"/>
      <c r="F63" s="16">
        <f>COUNTIF(E63,"f")</f>
        <v>0</v>
      </c>
      <c r="G63" s="24"/>
    </row>
    <row r="64" spans="2:7" ht="33" x14ac:dyDescent="0.25">
      <c r="B64" s="22"/>
      <c r="C64" s="4">
        <v>3</v>
      </c>
      <c r="D64" s="38" t="s">
        <v>55</v>
      </c>
      <c r="E64" s="15"/>
      <c r="F64" s="16">
        <f>COUNTIF(E64,"f")</f>
        <v>0</v>
      </c>
      <c r="G64" s="24"/>
    </row>
    <row r="65" spans="2:7" ht="33" x14ac:dyDescent="0.25">
      <c r="B65" s="22"/>
      <c r="C65" s="4">
        <v>4</v>
      </c>
      <c r="D65" s="38" t="s">
        <v>56</v>
      </c>
      <c r="E65" s="15"/>
      <c r="F65" s="16">
        <f>COUNTIF(E65,"f")</f>
        <v>0</v>
      </c>
      <c r="G65" s="24"/>
    </row>
    <row r="66" spans="2:7" ht="49.5" x14ac:dyDescent="0.25">
      <c r="B66" s="22"/>
      <c r="C66" s="4">
        <v>5</v>
      </c>
      <c r="D66" s="38" t="s">
        <v>57</v>
      </c>
      <c r="E66" s="15"/>
      <c r="F66" s="16">
        <f>COUNTIF(E66,"V")</f>
        <v>0</v>
      </c>
      <c r="G66" s="24"/>
    </row>
    <row r="67" spans="2:7" ht="33" x14ac:dyDescent="0.25">
      <c r="B67" s="22"/>
      <c r="C67" s="4">
        <v>6</v>
      </c>
      <c r="D67" s="38" t="s">
        <v>58</v>
      </c>
      <c r="E67" s="15"/>
      <c r="F67" s="16">
        <f>COUNTIF(E67,"V")</f>
        <v>0</v>
      </c>
      <c r="G67" s="24"/>
    </row>
    <row r="68" spans="2:7" ht="33" x14ac:dyDescent="0.25">
      <c r="B68" s="22"/>
      <c r="C68" s="4">
        <v>7</v>
      </c>
      <c r="D68" s="38" t="s">
        <v>59</v>
      </c>
      <c r="E68" s="15"/>
      <c r="F68" s="16">
        <f>COUNTIF(E68,"f")</f>
        <v>0</v>
      </c>
      <c r="G68" s="24"/>
    </row>
    <row r="69" spans="2:7" ht="16.5" x14ac:dyDescent="0.25">
      <c r="B69" s="22"/>
      <c r="C69" s="4">
        <v>8</v>
      </c>
      <c r="D69" s="38" t="s">
        <v>60</v>
      </c>
      <c r="E69" s="15"/>
      <c r="F69" s="16">
        <f>COUNTIF(E69,"V")</f>
        <v>0</v>
      </c>
      <c r="G69" s="24"/>
    </row>
    <row r="70" spans="2:7" ht="33" x14ac:dyDescent="0.25">
      <c r="B70" s="22"/>
      <c r="C70" s="4">
        <v>9</v>
      </c>
      <c r="D70" s="38" t="s">
        <v>61</v>
      </c>
      <c r="E70" s="15"/>
      <c r="F70" s="16">
        <f>COUNTIF(E70,"V")</f>
        <v>0</v>
      </c>
      <c r="G70" s="24"/>
    </row>
    <row r="71" spans="2:7" ht="33" x14ac:dyDescent="0.25">
      <c r="B71" s="22"/>
      <c r="C71" s="4">
        <v>10</v>
      </c>
      <c r="D71" s="38" t="s">
        <v>62</v>
      </c>
      <c r="E71" s="15"/>
      <c r="F71" s="16">
        <f>COUNTIF(E71,"V")</f>
        <v>0</v>
      </c>
      <c r="G71" s="24"/>
    </row>
    <row r="72" spans="2:7" ht="16.5" x14ac:dyDescent="0.25">
      <c r="B72" s="22"/>
      <c r="C72" s="26"/>
      <c r="D72" s="27"/>
      <c r="E72" s="39" t="s">
        <v>14</v>
      </c>
      <c r="F72" s="17">
        <f>SUM(F62:F71)</f>
        <v>0</v>
      </c>
      <c r="G72" s="24"/>
    </row>
    <row r="73" spans="2:7" ht="75.75" customHeight="1" x14ac:dyDescent="0.25">
      <c r="B73" s="22"/>
      <c r="C73" s="46" t="s">
        <v>63</v>
      </c>
      <c r="D73" s="47"/>
      <c r="E73" s="47"/>
      <c r="F73" s="47"/>
      <c r="G73" s="24"/>
    </row>
    <row r="74" spans="2:7" ht="44.25" customHeight="1" x14ac:dyDescent="0.25">
      <c r="B74" s="22"/>
      <c r="C74" s="26"/>
      <c r="D74" s="28"/>
      <c r="E74" s="29"/>
      <c r="F74" s="27"/>
      <c r="G74" s="24"/>
    </row>
    <row r="75" spans="2:7" ht="29.25" x14ac:dyDescent="0.25">
      <c r="B75" s="22"/>
      <c r="C75" s="26"/>
      <c r="D75" s="3" t="s">
        <v>64</v>
      </c>
      <c r="E75" s="37" t="s">
        <v>2</v>
      </c>
      <c r="F75" s="36" t="s">
        <v>3</v>
      </c>
      <c r="G75" s="24"/>
    </row>
    <row r="76" spans="2:7" ht="16.5" x14ac:dyDescent="0.25">
      <c r="B76" s="22"/>
      <c r="C76" s="4">
        <v>1</v>
      </c>
      <c r="D76" s="38" t="s">
        <v>65</v>
      </c>
      <c r="E76" s="15"/>
      <c r="F76" s="16">
        <f>COUNTIF(E76,"V")</f>
        <v>0</v>
      </c>
      <c r="G76" s="24"/>
    </row>
    <row r="77" spans="2:7" ht="49.5" x14ac:dyDescent="0.25">
      <c r="B77" s="22"/>
      <c r="C77" s="4">
        <v>2</v>
      </c>
      <c r="D77" s="38" t="s">
        <v>66</v>
      </c>
      <c r="E77" s="15"/>
      <c r="F77" s="16">
        <f>COUNTIF(E77,"V")</f>
        <v>0</v>
      </c>
      <c r="G77" s="24"/>
    </row>
    <row r="78" spans="2:7" ht="16.5" x14ac:dyDescent="0.25">
      <c r="B78" s="22"/>
      <c r="C78" s="4">
        <v>3</v>
      </c>
      <c r="D78" s="38" t="s">
        <v>67</v>
      </c>
      <c r="E78" s="15"/>
      <c r="F78" s="16">
        <f>COUNTIF(E78,"V")</f>
        <v>0</v>
      </c>
      <c r="G78" s="24"/>
    </row>
    <row r="79" spans="2:7" ht="16.5" x14ac:dyDescent="0.25">
      <c r="B79" s="22"/>
      <c r="C79" s="4">
        <v>4</v>
      </c>
      <c r="D79" s="38" t="s">
        <v>68</v>
      </c>
      <c r="E79" s="15"/>
      <c r="F79" s="16">
        <f>COUNTIF(E79,"f")</f>
        <v>0</v>
      </c>
      <c r="G79" s="24"/>
    </row>
    <row r="80" spans="2:7" ht="49.5" x14ac:dyDescent="0.25">
      <c r="B80" s="22"/>
      <c r="C80" s="4">
        <v>5</v>
      </c>
      <c r="D80" s="38" t="s">
        <v>69</v>
      </c>
      <c r="E80" s="15"/>
      <c r="F80" s="16">
        <f>COUNTIF(E80,"f")</f>
        <v>0</v>
      </c>
      <c r="G80" s="24"/>
    </row>
    <row r="81" spans="2:7" ht="33" x14ac:dyDescent="0.25">
      <c r="B81" s="22"/>
      <c r="C81" s="4">
        <v>6</v>
      </c>
      <c r="D81" s="38" t="s">
        <v>70</v>
      </c>
      <c r="E81" s="15"/>
      <c r="F81" s="16">
        <f>COUNTIF(E81,"V")</f>
        <v>0</v>
      </c>
      <c r="G81" s="24"/>
    </row>
    <row r="82" spans="2:7" ht="49.5" x14ac:dyDescent="0.25">
      <c r="B82" s="22"/>
      <c r="C82" s="4">
        <v>7</v>
      </c>
      <c r="D82" s="38" t="s">
        <v>71</v>
      </c>
      <c r="E82" s="15"/>
      <c r="F82" s="16">
        <f>COUNTIF(E82,"V")</f>
        <v>0</v>
      </c>
      <c r="G82" s="24"/>
    </row>
    <row r="83" spans="2:7" ht="33" x14ac:dyDescent="0.25">
      <c r="B83" s="22"/>
      <c r="C83" s="4">
        <v>8</v>
      </c>
      <c r="D83" s="38" t="s">
        <v>72</v>
      </c>
      <c r="E83" s="15"/>
      <c r="F83" s="16">
        <f>COUNTIF(E83,"f")</f>
        <v>0</v>
      </c>
      <c r="G83" s="24"/>
    </row>
    <row r="84" spans="2:7" ht="33" x14ac:dyDescent="0.25">
      <c r="B84" s="22"/>
      <c r="C84" s="4">
        <v>9</v>
      </c>
      <c r="D84" s="38" t="s">
        <v>73</v>
      </c>
      <c r="E84" s="15"/>
      <c r="F84" s="16">
        <f>COUNTIF(E84,"f")</f>
        <v>0</v>
      </c>
      <c r="G84" s="24"/>
    </row>
    <row r="85" spans="2:7" ht="49.5" x14ac:dyDescent="0.25">
      <c r="B85" s="22"/>
      <c r="C85" s="4">
        <v>10</v>
      </c>
      <c r="D85" s="38" t="s">
        <v>74</v>
      </c>
      <c r="E85" s="15"/>
      <c r="F85" s="16">
        <f>COUNTIF(E85,"V")</f>
        <v>0</v>
      </c>
      <c r="G85" s="24"/>
    </row>
    <row r="86" spans="2:7" ht="16.5" x14ac:dyDescent="0.25">
      <c r="B86" s="22"/>
      <c r="C86" s="26"/>
      <c r="D86" s="27"/>
      <c r="E86" s="39" t="s">
        <v>14</v>
      </c>
      <c r="F86" s="17">
        <f>SUM(F76:F85)</f>
        <v>0</v>
      </c>
      <c r="G86" s="24"/>
    </row>
    <row r="87" spans="2:7" ht="81.75" customHeight="1" x14ac:dyDescent="0.25">
      <c r="B87" s="22"/>
      <c r="C87" s="46" t="s">
        <v>75</v>
      </c>
      <c r="D87" s="47"/>
      <c r="E87" s="47"/>
      <c r="F87" s="47"/>
      <c r="G87" s="24"/>
    </row>
    <row r="88" spans="2:7" ht="16.5" x14ac:dyDescent="0.25">
      <c r="B88" s="22"/>
      <c r="C88" s="26"/>
      <c r="D88" s="28"/>
      <c r="E88" s="29"/>
      <c r="F88" s="27"/>
      <c r="G88" s="24"/>
    </row>
    <row r="89" spans="2:7" ht="37.5" customHeight="1" x14ac:dyDescent="0.25">
      <c r="B89" s="22"/>
      <c r="C89" s="48" t="s">
        <v>76</v>
      </c>
      <c r="D89" s="48"/>
      <c r="E89" s="48"/>
      <c r="F89" s="48"/>
      <c r="G89" s="24"/>
    </row>
    <row r="90" spans="2:7" ht="17.25" x14ac:dyDescent="0.25">
      <c r="B90" s="30"/>
      <c r="C90" s="31"/>
      <c r="D90" s="32"/>
      <c r="E90" s="33"/>
      <c r="F90" s="34"/>
      <c r="G90" s="35"/>
    </row>
    <row r="91" spans="2:7" ht="17.25" x14ac:dyDescent="0.25">
      <c r="C91" s="6"/>
      <c r="D91" s="7"/>
      <c r="E91" s="2"/>
      <c r="F91" s="5"/>
    </row>
    <row r="92" spans="2:7" ht="17.25" x14ac:dyDescent="0.25">
      <c r="C92" s="6"/>
      <c r="D92" s="7"/>
      <c r="E92" s="2"/>
      <c r="F92" s="5"/>
    </row>
    <row r="93" spans="2:7" ht="17.25" x14ac:dyDescent="0.25">
      <c r="C93" s="6"/>
      <c r="D93" s="7"/>
      <c r="E93" s="2"/>
      <c r="F93" s="5"/>
    </row>
    <row r="94" spans="2:7" ht="17.25" x14ac:dyDescent="0.25">
      <c r="C94" s="6"/>
      <c r="D94" s="7"/>
      <c r="E94" s="2"/>
      <c r="F94" s="5"/>
    </row>
    <row r="95" spans="2:7" ht="17.25" x14ac:dyDescent="0.25">
      <c r="C95" s="6"/>
      <c r="D95" s="7"/>
      <c r="E95" s="2"/>
      <c r="F95" s="5"/>
    </row>
    <row r="96" spans="2:7" ht="17.25" x14ac:dyDescent="0.25">
      <c r="C96" s="6"/>
      <c r="D96" s="7"/>
      <c r="E96" s="2"/>
      <c r="F96" s="5"/>
    </row>
    <row r="97" spans="3:6" ht="17.25" x14ac:dyDescent="0.25">
      <c r="C97" s="6"/>
      <c r="D97" s="7"/>
      <c r="E97" s="2"/>
      <c r="F97" s="5"/>
    </row>
    <row r="98" spans="3:6" ht="17.25" x14ac:dyDescent="0.25">
      <c r="C98" s="6"/>
      <c r="D98" s="7"/>
      <c r="E98" s="2"/>
      <c r="F98" s="5"/>
    </row>
    <row r="99" spans="3:6" ht="17.25" x14ac:dyDescent="0.25">
      <c r="C99" s="6"/>
      <c r="D99" s="7"/>
      <c r="E99" s="2"/>
      <c r="F99" s="5"/>
    </row>
    <row r="100" spans="3:6" ht="17.25" x14ac:dyDescent="0.25">
      <c r="C100" s="6"/>
      <c r="D100" s="7"/>
      <c r="E100" s="2"/>
      <c r="F100" s="5"/>
    </row>
    <row r="101" spans="3:6" ht="17.25" x14ac:dyDescent="0.25">
      <c r="C101" s="6"/>
      <c r="D101" s="7"/>
      <c r="E101" s="2"/>
      <c r="F101" s="5"/>
    </row>
    <row r="102" spans="3:6" ht="17.25" x14ac:dyDescent="0.25">
      <c r="C102" s="6"/>
      <c r="D102" s="7"/>
      <c r="E102" s="2"/>
      <c r="F102" s="5"/>
    </row>
    <row r="103" spans="3:6" ht="17.25" x14ac:dyDescent="0.25">
      <c r="C103" s="6"/>
      <c r="D103" s="7"/>
      <c r="E103" s="2"/>
      <c r="F103" s="5"/>
    </row>
    <row r="104" spans="3:6" ht="17.25" x14ac:dyDescent="0.25">
      <c r="C104" s="6"/>
      <c r="D104" s="7"/>
      <c r="E104" s="2"/>
      <c r="F104" s="5"/>
    </row>
    <row r="105" spans="3:6" ht="17.25" x14ac:dyDescent="0.25">
      <c r="C105" s="6"/>
      <c r="D105" s="7"/>
      <c r="E105" s="2"/>
      <c r="F105" s="5"/>
    </row>
    <row r="106" spans="3:6" ht="17.25" x14ac:dyDescent="0.25">
      <c r="C106" s="6"/>
      <c r="D106" s="7"/>
      <c r="E106" s="2"/>
      <c r="F106" s="5"/>
    </row>
    <row r="107" spans="3:6" x14ac:dyDescent="0.25">
      <c r="D107" s="9"/>
    </row>
    <row r="108" spans="3:6" x14ac:dyDescent="0.25">
      <c r="D108" s="9"/>
    </row>
    <row r="109" spans="3:6" x14ac:dyDescent="0.25">
      <c r="D109" s="9"/>
    </row>
    <row r="110" spans="3:6" x14ac:dyDescent="0.25">
      <c r="D110" s="9"/>
    </row>
    <row r="111" spans="3:6" x14ac:dyDescent="0.25">
      <c r="D111" s="9"/>
    </row>
    <row r="112" spans="3:6" x14ac:dyDescent="0.25">
      <c r="D112" s="9"/>
    </row>
    <row r="113" spans="4:4" x14ac:dyDescent="0.25">
      <c r="D113" s="9"/>
    </row>
    <row r="114" spans="4:4" x14ac:dyDescent="0.25">
      <c r="D114" s="9"/>
    </row>
    <row r="115" spans="4:4" x14ac:dyDescent="0.25">
      <c r="D115" s="9"/>
    </row>
    <row r="116" spans="4:4" x14ac:dyDescent="0.25">
      <c r="D116" s="9"/>
    </row>
    <row r="117" spans="4:4" x14ac:dyDescent="0.25">
      <c r="D117" s="9"/>
    </row>
    <row r="118" spans="4:4" x14ac:dyDescent="0.25">
      <c r="D118" s="9"/>
    </row>
    <row r="119" spans="4:4" x14ac:dyDescent="0.25">
      <c r="D119" s="9"/>
    </row>
    <row r="120" spans="4:4" x14ac:dyDescent="0.25">
      <c r="D120" s="9"/>
    </row>
    <row r="121" spans="4:4" x14ac:dyDescent="0.25">
      <c r="D121" s="9"/>
    </row>
    <row r="122" spans="4:4" x14ac:dyDescent="0.25">
      <c r="D122" s="9"/>
    </row>
    <row r="123" spans="4:4" x14ac:dyDescent="0.25">
      <c r="D123" s="9"/>
    </row>
    <row r="124" spans="4:4" x14ac:dyDescent="0.25">
      <c r="D124" s="9"/>
    </row>
    <row r="125" spans="4:4" x14ac:dyDescent="0.25">
      <c r="D125" s="9"/>
    </row>
    <row r="126" spans="4:4" x14ac:dyDescent="0.25">
      <c r="D126" s="9"/>
    </row>
    <row r="127" spans="4:4" x14ac:dyDescent="0.25">
      <c r="D127" s="9"/>
    </row>
    <row r="128" spans="4:4" x14ac:dyDescent="0.25">
      <c r="D128" s="9"/>
    </row>
    <row r="129" spans="4:4" x14ac:dyDescent="0.25">
      <c r="D129" s="9"/>
    </row>
    <row r="130" spans="4:4" x14ac:dyDescent="0.25">
      <c r="D130" s="9"/>
    </row>
    <row r="131" spans="4:4" x14ac:dyDescent="0.25">
      <c r="D131" s="9"/>
    </row>
    <row r="132" spans="4:4" x14ac:dyDescent="0.25">
      <c r="D132" s="9"/>
    </row>
    <row r="133" spans="4:4" x14ac:dyDescent="0.25">
      <c r="D133" s="9"/>
    </row>
    <row r="134" spans="4:4" x14ac:dyDescent="0.25">
      <c r="D134" s="9"/>
    </row>
    <row r="135" spans="4:4" x14ac:dyDescent="0.25">
      <c r="D135" s="9"/>
    </row>
    <row r="136" spans="4:4" x14ac:dyDescent="0.25">
      <c r="D136" s="9"/>
    </row>
    <row r="137" spans="4:4" x14ac:dyDescent="0.25">
      <c r="D137" s="9"/>
    </row>
    <row r="138" spans="4:4" x14ac:dyDescent="0.25">
      <c r="D138" s="9"/>
    </row>
    <row r="139" spans="4:4" x14ac:dyDescent="0.25">
      <c r="D139" s="9"/>
    </row>
    <row r="140" spans="4:4" x14ac:dyDescent="0.25">
      <c r="D140" s="9"/>
    </row>
    <row r="141" spans="4:4" x14ac:dyDescent="0.25">
      <c r="D141" s="9"/>
    </row>
    <row r="142" spans="4:4" x14ac:dyDescent="0.25">
      <c r="D142" s="9"/>
    </row>
    <row r="143" spans="4:4" x14ac:dyDescent="0.25">
      <c r="D143" s="9"/>
    </row>
    <row r="144" spans="4:4" x14ac:dyDescent="0.25">
      <c r="D144" s="9"/>
    </row>
    <row r="145" spans="4:4" x14ac:dyDescent="0.25">
      <c r="D145" s="9"/>
    </row>
    <row r="146" spans="4:4" x14ac:dyDescent="0.25">
      <c r="D146" s="9"/>
    </row>
    <row r="147" spans="4:4" x14ac:dyDescent="0.25">
      <c r="D147" s="9"/>
    </row>
    <row r="148" spans="4:4" x14ac:dyDescent="0.25">
      <c r="D148" s="9"/>
    </row>
    <row r="149" spans="4:4" x14ac:dyDescent="0.25">
      <c r="D149" s="9"/>
    </row>
    <row r="150" spans="4:4" x14ac:dyDescent="0.25">
      <c r="D150" s="9"/>
    </row>
    <row r="151" spans="4:4" x14ac:dyDescent="0.25">
      <c r="D151" s="9"/>
    </row>
    <row r="152" spans="4:4" x14ac:dyDescent="0.25">
      <c r="D152" s="9"/>
    </row>
    <row r="153" spans="4:4" x14ac:dyDescent="0.25">
      <c r="D153" s="9"/>
    </row>
    <row r="154" spans="4:4" x14ac:dyDescent="0.25">
      <c r="D154" s="9"/>
    </row>
    <row r="155" spans="4:4" x14ac:dyDescent="0.25">
      <c r="D155" s="9"/>
    </row>
    <row r="156" spans="4:4" x14ac:dyDescent="0.25">
      <c r="D156" s="9"/>
    </row>
    <row r="157" spans="4:4" x14ac:dyDescent="0.25">
      <c r="D157" s="9"/>
    </row>
    <row r="158" spans="4:4" x14ac:dyDescent="0.25">
      <c r="D158" s="9"/>
    </row>
    <row r="159" spans="4:4" x14ac:dyDescent="0.25">
      <c r="D159" s="9"/>
    </row>
    <row r="160" spans="4:4" x14ac:dyDescent="0.25">
      <c r="D160" s="9"/>
    </row>
    <row r="161" spans="4:4" x14ac:dyDescent="0.25">
      <c r="D161" s="9"/>
    </row>
    <row r="162" spans="4:4" x14ac:dyDescent="0.25">
      <c r="D162" s="9"/>
    </row>
    <row r="163" spans="4:4" x14ac:dyDescent="0.25">
      <c r="D163" s="9"/>
    </row>
    <row r="164" spans="4:4" x14ac:dyDescent="0.25">
      <c r="D164" s="9"/>
    </row>
    <row r="165" spans="4:4" x14ac:dyDescent="0.25">
      <c r="D165" s="9"/>
    </row>
    <row r="166" spans="4:4" x14ac:dyDescent="0.25">
      <c r="D166" s="9"/>
    </row>
    <row r="167" spans="4:4" x14ac:dyDescent="0.25">
      <c r="D167" s="9"/>
    </row>
    <row r="168" spans="4:4" x14ac:dyDescent="0.25">
      <c r="D168" s="9"/>
    </row>
    <row r="169" spans="4:4" x14ac:dyDescent="0.25">
      <c r="D169" s="9"/>
    </row>
    <row r="170" spans="4:4" x14ac:dyDescent="0.25">
      <c r="D170" s="9"/>
    </row>
    <row r="171" spans="4:4" x14ac:dyDescent="0.25">
      <c r="D171" s="9"/>
    </row>
    <row r="172" spans="4:4" x14ac:dyDescent="0.25">
      <c r="D172" s="9"/>
    </row>
    <row r="173" spans="4:4" x14ac:dyDescent="0.25">
      <c r="D173" s="9"/>
    </row>
    <row r="174" spans="4:4" x14ac:dyDescent="0.25">
      <c r="D174" s="9"/>
    </row>
    <row r="175" spans="4:4" x14ac:dyDescent="0.25">
      <c r="D175" s="9"/>
    </row>
    <row r="176" spans="4:4" x14ac:dyDescent="0.25">
      <c r="D176" s="9"/>
    </row>
    <row r="177" spans="4:4" x14ac:dyDescent="0.25">
      <c r="D177" s="9"/>
    </row>
  </sheetData>
  <mergeCells count="8">
    <mergeCell ref="D2:F3"/>
    <mergeCell ref="C17:F17"/>
    <mergeCell ref="C31:F31"/>
    <mergeCell ref="C89:F89"/>
    <mergeCell ref="C45:F45"/>
    <mergeCell ref="C59:F59"/>
    <mergeCell ref="C73:F73"/>
    <mergeCell ref="C87:F87"/>
  </mergeCells>
  <conditionalFormatting sqref="F6">
    <cfRule type="cellIs" priority="1" operator="equal">
      <formula>$E$5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90"/>
  <sheetViews>
    <sheetView showGridLines="0" topLeftCell="A12" workbookViewId="0">
      <selection activeCell="M27" sqref="E27:M27"/>
    </sheetView>
  </sheetViews>
  <sheetFormatPr defaultRowHeight="15" x14ac:dyDescent="0.25"/>
  <cols>
    <col min="1" max="1" width="6.140625" customWidth="1"/>
    <col min="2" max="2" width="3.5703125" customWidth="1"/>
    <col min="3" max="12" width="7.7109375" customWidth="1"/>
  </cols>
  <sheetData>
    <row r="1" spans="2:15" ht="18" customHeight="1" x14ac:dyDescent="0.25"/>
    <row r="2" spans="2:15" ht="16.5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15" ht="16.5" x14ac:dyDescent="0.3"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1"/>
      <c r="O3" s="1"/>
    </row>
    <row r="4" spans="2:15" ht="23.25" x14ac:dyDescent="0.4">
      <c r="B4" s="40"/>
      <c r="C4" s="41" t="s">
        <v>77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1"/>
      <c r="O4" s="1"/>
    </row>
    <row r="5" spans="2:15" ht="17.25" x14ac:dyDescent="0.3">
      <c r="B5" s="40"/>
      <c r="C5" s="43">
        <v>1</v>
      </c>
      <c r="D5" s="43">
        <v>2</v>
      </c>
      <c r="E5" s="43">
        <v>3</v>
      </c>
      <c r="F5" s="43">
        <v>4</v>
      </c>
      <c r="G5" s="43">
        <v>5</v>
      </c>
      <c r="H5" s="43">
        <v>6</v>
      </c>
      <c r="I5" s="43">
        <v>7</v>
      </c>
      <c r="J5" s="43">
        <v>8</v>
      </c>
      <c r="K5" s="43">
        <v>9</v>
      </c>
      <c r="L5" s="43">
        <v>10</v>
      </c>
      <c r="M5" s="40"/>
      <c r="N5" s="1"/>
      <c r="O5" s="1"/>
    </row>
    <row r="6" spans="2:15" ht="16.5" x14ac:dyDescent="0.3">
      <c r="B6" s="40"/>
      <c r="C6" s="40" t="s">
        <v>78</v>
      </c>
      <c r="D6" s="40"/>
      <c r="E6" s="40"/>
      <c r="F6" s="40"/>
      <c r="G6" s="40"/>
      <c r="H6" s="40"/>
      <c r="I6" s="40"/>
      <c r="J6" s="40"/>
      <c r="K6" s="40"/>
      <c r="L6" s="42" t="s">
        <v>79</v>
      </c>
      <c r="M6" s="40"/>
      <c r="N6" s="1"/>
      <c r="O6" s="1"/>
    </row>
    <row r="7" spans="2:15" ht="16.5" x14ac:dyDescent="0.3"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1"/>
      <c r="O7" s="1"/>
    </row>
    <row r="8" spans="2:15" ht="23.25" x14ac:dyDescent="0.4">
      <c r="B8" s="40"/>
      <c r="C8" s="41" t="s">
        <v>80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1"/>
      <c r="O8" s="1"/>
    </row>
    <row r="9" spans="2:15" ht="17.25" x14ac:dyDescent="0.3">
      <c r="B9" s="40"/>
      <c r="C9" s="43">
        <v>1</v>
      </c>
      <c r="D9" s="43">
        <v>2</v>
      </c>
      <c r="E9" s="43">
        <v>3</v>
      </c>
      <c r="F9" s="43">
        <v>4</v>
      </c>
      <c r="G9" s="43">
        <v>5</v>
      </c>
      <c r="H9" s="43">
        <v>6</v>
      </c>
      <c r="I9" s="43">
        <v>7</v>
      </c>
      <c r="J9" s="43">
        <v>8</v>
      </c>
      <c r="K9" s="43">
        <v>9</v>
      </c>
      <c r="L9" s="43">
        <v>10</v>
      </c>
      <c r="M9" s="40"/>
      <c r="N9" s="1"/>
      <c r="O9" s="1"/>
    </row>
    <row r="10" spans="2:15" ht="16.5" x14ac:dyDescent="0.3">
      <c r="B10" s="40"/>
      <c r="C10" s="40" t="s">
        <v>81</v>
      </c>
      <c r="D10" s="40"/>
      <c r="E10" s="40"/>
      <c r="F10" s="40"/>
      <c r="G10" s="40"/>
      <c r="H10" s="40"/>
      <c r="I10" s="40"/>
      <c r="J10" s="40"/>
      <c r="K10" s="40"/>
      <c r="L10" s="42" t="s">
        <v>82</v>
      </c>
      <c r="M10" s="40"/>
      <c r="N10" s="1"/>
      <c r="O10" s="1"/>
    </row>
    <row r="11" spans="2:15" ht="16.5" x14ac:dyDescent="0.3"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1"/>
      <c r="O11" s="1"/>
    </row>
    <row r="12" spans="2:15" ht="23.25" x14ac:dyDescent="0.4">
      <c r="B12" s="40"/>
      <c r="C12" s="41" t="s">
        <v>83</v>
      </c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1"/>
      <c r="O12" s="1"/>
    </row>
    <row r="13" spans="2:15" ht="17.25" x14ac:dyDescent="0.3">
      <c r="B13" s="40"/>
      <c r="C13" s="43">
        <v>1</v>
      </c>
      <c r="D13" s="43">
        <v>2</v>
      </c>
      <c r="E13" s="43">
        <v>3</v>
      </c>
      <c r="F13" s="43">
        <v>4</v>
      </c>
      <c r="G13" s="43">
        <v>5</v>
      </c>
      <c r="H13" s="43">
        <v>6</v>
      </c>
      <c r="I13" s="43">
        <v>7</v>
      </c>
      <c r="J13" s="43">
        <v>8</v>
      </c>
      <c r="K13" s="43">
        <v>9</v>
      </c>
      <c r="L13" s="43">
        <v>10</v>
      </c>
      <c r="M13" s="40"/>
      <c r="N13" s="1"/>
      <c r="O13" s="1"/>
    </row>
    <row r="14" spans="2:15" ht="16.5" x14ac:dyDescent="0.3">
      <c r="B14" s="40"/>
      <c r="C14" s="40" t="s">
        <v>84</v>
      </c>
      <c r="D14" s="40"/>
      <c r="E14" s="40"/>
      <c r="F14" s="40"/>
      <c r="G14" s="40"/>
      <c r="H14" s="40"/>
      <c r="I14" s="40"/>
      <c r="J14" s="40"/>
      <c r="K14" s="40"/>
      <c r="L14" s="42" t="s">
        <v>85</v>
      </c>
      <c r="M14" s="40"/>
      <c r="N14" s="1"/>
      <c r="O14" s="1"/>
    </row>
    <row r="15" spans="2:15" ht="16.5" x14ac:dyDescent="0.3"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1"/>
      <c r="O15" s="1"/>
    </row>
    <row r="16" spans="2:15" ht="23.25" x14ac:dyDescent="0.4">
      <c r="B16" s="40"/>
      <c r="C16" s="41" t="s">
        <v>86</v>
      </c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1"/>
      <c r="O16" s="1"/>
    </row>
    <row r="17" spans="2:15" ht="17.25" x14ac:dyDescent="0.3">
      <c r="B17" s="40"/>
      <c r="C17" s="43">
        <v>1</v>
      </c>
      <c r="D17" s="43">
        <v>2</v>
      </c>
      <c r="E17" s="43">
        <v>3</v>
      </c>
      <c r="F17" s="43">
        <v>4</v>
      </c>
      <c r="G17" s="43">
        <v>5</v>
      </c>
      <c r="H17" s="43">
        <v>6</v>
      </c>
      <c r="I17" s="43">
        <v>7</v>
      </c>
      <c r="J17" s="43">
        <v>8</v>
      </c>
      <c r="K17" s="43">
        <v>9</v>
      </c>
      <c r="L17" s="43">
        <v>10</v>
      </c>
      <c r="M17" s="40"/>
      <c r="N17" s="1"/>
      <c r="O17" s="1"/>
    </row>
    <row r="18" spans="2:15" ht="16.5" x14ac:dyDescent="0.3">
      <c r="B18" s="40"/>
      <c r="C18" s="40" t="s">
        <v>87</v>
      </c>
      <c r="D18" s="40"/>
      <c r="E18" s="40"/>
      <c r="F18" s="40"/>
      <c r="G18" s="40"/>
      <c r="H18" s="40"/>
      <c r="I18" s="40"/>
      <c r="J18" s="40"/>
      <c r="K18" s="40"/>
      <c r="L18" s="42" t="s">
        <v>88</v>
      </c>
      <c r="M18" s="40"/>
      <c r="N18" s="1"/>
      <c r="O18" s="1"/>
    </row>
    <row r="19" spans="2:15" ht="16.5" x14ac:dyDescent="0.3"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1"/>
      <c r="O19" s="1"/>
    </row>
    <row r="20" spans="2:15" ht="23.25" x14ac:dyDescent="0.4">
      <c r="B20" s="40"/>
      <c r="C20" s="41" t="s">
        <v>89</v>
      </c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1"/>
      <c r="O20" s="1"/>
    </row>
    <row r="21" spans="2:15" ht="17.25" x14ac:dyDescent="0.3">
      <c r="B21" s="40"/>
      <c r="C21" s="43">
        <v>1</v>
      </c>
      <c r="D21" s="43">
        <v>2</v>
      </c>
      <c r="E21" s="43">
        <v>3</v>
      </c>
      <c r="F21" s="43">
        <v>4</v>
      </c>
      <c r="G21" s="43">
        <v>5</v>
      </c>
      <c r="H21" s="43">
        <v>6</v>
      </c>
      <c r="I21" s="43">
        <v>7</v>
      </c>
      <c r="J21" s="43">
        <v>8</v>
      </c>
      <c r="K21" s="43">
        <v>9</v>
      </c>
      <c r="L21" s="43">
        <v>10</v>
      </c>
      <c r="M21" s="40"/>
      <c r="N21" s="1"/>
      <c r="O21" s="1"/>
    </row>
    <row r="22" spans="2:15" ht="16.5" x14ac:dyDescent="0.3">
      <c r="B22" s="40"/>
      <c r="C22" s="40" t="s">
        <v>90</v>
      </c>
      <c r="D22" s="40"/>
      <c r="E22" s="40"/>
      <c r="F22" s="40"/>
      <c r="G22" s="40"/>
      <c r="H22" s="40"/>
      <c r="I22" s="40"/>
      <c r="J22" s="40"/>
      <c r="K22" s="40"/>
      <c r="L22" s="42" t="s">
        <v>91</v>
      </c>
      <c r="M22" s="40"/>
      <c r="N22" s="1"/>
      <c r="O22" s="1"/>
    </row>
    <row r="23" spans="2:15" ht="16.5" x14ac:dyDescent="0.3"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1"/>
      <c r="O23" s="1"/>
    </row>
    <row r="24" spans="2:15" ht="23.25" x14ac:dyDescent="0.4">
      <c r="B24" s="40"/>
      <c r="C24" s="41" t="s">
        <v>92</v>
      </c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1"/>
      <c r="O24" s="1"/>
    </row>
    <row r="25" spans="2:15" ht="17.25" x14ac:dyDescent="0.3">
      <c r="B25" s="40"/>
      <c r="C25" s="43">
        <v>1</v>
      </c>
      <c r="D25" s="43">
        <v>2</v>
      </c>
      <c r="E25" s="43">
        <v>3</v>
      </c>
      <c r="F25" s="43">
        <v>4</v>
      </c>
      <c r="G25" s="43">
        <v>5</v>
      </c>
      <c r="H25" s="43">
        <v>6</v>
      </c>
      <c r="I25" s="43">
        <v>7</v>
      </c>
      <c r="J25" s="43">
        <v>8</v>
      </c>
      <c r="K25" s="43">
        <v>9</v>
      </c>
      <c r="L25" s="43">
        <v>10</v>
      </c>
      <c r="M25" s="40"/>
      <c r="N25" s="1"/>
      <c r="O25" s="1"/>
    </row>
    <row r="26" spans="2:15" ht="16.5" x14ac:dyDescent="0.3">
      <c r="B26" s="40"/>
      <c r="C26" s="40" t="s">
        <v>93</v>
      </c>
      <c r="D26" s="40"/>
      <c r="E26" s="40"/>
      <c r="F26" s="40"/>
      <c r="G26" s="40"/>
      <c r="H26" s="40"/>
      <c r="I26" s="40"/>
      <c r="J26" s="40"/>
      <c r="K26" s="40"/>
      <c r="L26" s="42" t="s">
        <v>94</v>
      </c>
      <c r="M26" s="40"/>
      <c r="N26" s="1"/>
      <c r="O26" s="1"/>
    </row>
    <row r="27" spans="2:15" ht="16.5" x14ac:dyDescent="0.3"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1"/>
      <c r="O27" s="1"/>
    </row>
    <row r="28" spans="2:15" ht="16.5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2:15" ht="81.75" customHeight="1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2:15" ht="16.5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43" ht="75" customHeight="1" x14ac:dyDescent="0.25"/>
    <row r="57" ht="78.75" customHeight="1" x14ac:dyDescent="0.25"/>
    <row r="71" ht="75.75" customHeight="1" x14ac:dyDescent="0.25"/>
    <row r="85" ht="75.75" customHeight="1" x14ac:dyDescent="0.25"/>
    <row r="88" ht="43.5" customHeight="1" x14ac:dyDescent="0.25"/>
    <row r="89" ht="93" customHeight="1" x14ac:dyDescent="0.25"/>
    <row r="90" ht="18.75" customHeight="1" x14ac:dyDescent="0.25"/>
  </sheetData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Teste</vt:lpstr>
      <vt:lpstr>Tabulação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Usuário do Windows</dc:creator>
  <cp:keywords/>
  <dc:description/>
  <cp:lastModifiedBy>Vanessa Coan</cp:lastModifiedBy>
  <cp:revision/>
  <dcterms:created xsi:type="dcterms:W3CDTF">2020-08-31T19:42:33Z</dcterms:created>
  <dcterms:modified xsi:type="dcterms:W3CDTF">2025-01-20T00:29:30Z</dcterms:modified>
  <cp:category/>
  <cp:contentStatus/>
</cp:coreProperties>
</file>